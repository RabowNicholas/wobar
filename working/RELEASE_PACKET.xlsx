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MUR" sheetId="3" state="visible" r:id="rId3"/>
    <sheet xmlns:r="http://schemas.openxmlformats.org/officeDocument/2006/relationships" name="ARCHIVE INDEX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1A"/>
      <sz val="16"/>
    </font>
    <font>
      <name val="Arial"/>
      <charset val="1"/>
      <family val="0"/>
      <i val="1"/>
      <color rgb="FF606060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1A1A1A"/>
      <sz val="10"/>
    </font>
    <font>
      <name val="Arial"/>
      <charset val="1"/>
      <family val="0"/>
      <b val="1"/>
      <i val="1"/>
      <color rgb="FF1A1A1A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A1A1A"/>
      <sz val="12"/>
    </font>
    <font>
      <name val="Arial"/>
      <b val="1"/>
      <color rgb="00006400"/>
      <sz val="12"/>
    </font>
  </fonts>
  <fills count="7">
    <fill>
      <patternFill/>
    </fill>
    <fill>
      <patternFill patternType="gray125"/>
    </fill>
    <fill>
      <patternFill patternType="solid">
        <fgColor rgb="FFE5DAF2"/>
        <bgColor rgb="FFF2F2F2"/>
      </patternFill>
    </fill>
    <fill>
      <patternFill patternType="solid">
        <fgColor rgb="FFFFF4D6"/>
        <bgColor rgb="FFF2F2F2"/>
      </patternFill>
    </fill>
    <fill>
      <patternFill patternType="solid">
        <fgColor rgb="FF5B3A8C"/>
        <bgColor rgb="FF606060"/>
      </patternFill>
    </fill>
    <fill>
      <patternFill patternType="solid">
        <fgColor rgb="FFF2F2F2"/>
        <bgColor rgb="FFFFF4D6"/>
      </patternFill>
    </fill>
    <fill>
      <patternFill patternType="solid">
        <fgColor rgb="FF8C66B8"/>
        <bgColor rgb="FF60606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center" wrapText="1"/>
    </xf>
    <xf numFmtId="164" fontId="7" fillId="0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center" wrapText="1"/>
    </xf>
    <xf numFmtId="164" fontId="7" fillId="0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66B8"/>
      <rgbColor rgb="FF9999FF"/>
      <rgbColor rgb="FF993366"/>
      <rgbColor rgb="FFFFF4D6"/>
      <rgbColor rgb="FFF2F2F2"/>
      <rgbColor rgb="FF660066"/>
      <rgbColor rgb="FFFF8080"/>
      <rgbColor rgb="FF0066CC"/>
      <rgbColor rgb="FFE5DA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5B3A8C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6" customWidth="1" style="14" min="2" max="2"/>
    <col width="20" customWidth="1" style="14" min="3" max="3"/>
    <col width="12" customWidth="1" style="14" min="4" max="4"/>
    <col width="14" customWidth="1" style="14" min="5" max="5"/>
    <col width="50" customWidth="1" style="14" min="6" max="6"/>
  </cols>
  <sheetData>
    <row r="1" ht="19.7" customHeight="1" s="15">
      <c r="A1" s="16" t="inlineStr">
        <is>
          <t>WOBAR — 2026 RELEASE SCHEDULE</t>
        </is>
      </c>
    </row>
    <row r="2" ht="15" customHeight="1" s="15">
      <c r="A2" s="17" t="inlineStr">
        <is>
          <t>Biweekly Fridays. 16 releases through year-end.</t>
        </is>
      </c>
    </row>
    <row r="4" ht="15" customHeight="1" s="15">
      <c r="A4" s="18" t="inlineStr">
        <is>
          <t>#</t>
        </is>
      </c>
      <c r="B4" s="18" t="inlineStr">
        <is>
          <t>RELEASE DATE</t>
        </is>
      </c>
      <c r="C4" s="18" t="inlineStr">
        <is>
          <t>TRACK NAME</t>
        </is>
      </c>
      <c r="D4" s="18" t="inlineStr">
        <is>
          <t>TYPE</t>
        </is>
      </c>
      <c r="E4" s="18" t="inlineStr">
        <is>
          <t>STATUS</t>
        </is>
      </c>
      <c r="F4" s="18" t="inlineStr">
        <is>
          <t>NOTES</t>
        </is>
      </c>
    </row>
    <row r="5" ht="15" customHeight="1" s="15">
      <c r="A5" s="19" t="inlineStr">
        <is>
          <t>01</t>
        </is>
      </c>
      <c r="B5" s="20" t="n">
        <v>46171</v>
      </c>
      <c r="C5" s="19" t="inlineStr">
        <is>
          <t>MUR</t>
        </is>
      </c>
      <c r="D5" s="19" t="inlineStr">
        <is>
          <t>Original</t>
        </is>
      </c>
      <c r="E5" s="19" t="inlineStr">
        <is>
          <t>scheduled</t>
        </is>
      </c>
      <c r="F5" s="19" t="n"/>
    </row>
    <row r="6" ht="15" customHeight="1" s="15">
      <c r="A6" s="19" t="inlineStr">
        <is>
          <t>02</t>
        </is>
      </c>
      <c r="B6" s="20" t="n">
        <v>46185</v>
      </c>
      <c r="C6" s="19" t="n"/>
      <c r="D6" s="19" t="n"/>
      <c r="E6" s="19" t="inlineStr">
        <is>
          <t>open</t>
        </is>
      </c>
      <c r="F6" s="19" t="n"/>
    </row>
    <row r="7" ht="15" customHeight="1" s="15">
      <c r="A7" s="19" t="inlineStr">
        <is>
          <t>03</t>
        </is>
      </c>
      <c r="B7" s="20" t="n">
        <v>46199</v>
      </c>
      <c r="C7" s="19" t="n"/>
      <c r="D7" s="19" t="n"/>
      <c r="E7" s="19" t="inlineStr">
        <is>
          <t>open</t>
        </is>
      </c>
      <c r="F7" s="19" t="n"/>
    </row>
    <row r="8" ht="15" customHeight="1" s="15">
      <c r="A8" s="19" t="inlineStr">
        <is>
          <t>04</t>
        </is>
      </c>
      <c r="B8" s="20" t="n">
        <v>46213</v>
      </c>
      <c r="C8" s="19" t="n"/>
      <c r="D8" s="19" t="n"/>
      <c r="E8" s="19" t="inlineStr">
        <is>
          <t>open</t>
        </is>
      </c>
      <c r="F8" s="19" t="n"/>
    </row>
    <row r="9" ht="15" customHeight="1" s="15">
      <c r="A9" s="19" t="inlineStr">
        <is>
          <t>05</t>
        </is>
      </c>
      <c r="B9" s="20" t="n">
        <v>46227</v>
      </c>
      <c r="C9" s="19" t="n"/>
      <c r="D9" s="19" t="n"/>
      <c r="E9" s="19" t="inlineStr">
        <is>
          <t>open</t>
        </is>
      </c>
      <c r="F9" s="19" t="n"/>
    </row>
    <row r="10" ht="15" customHeight="1" s="15">
      <c r="A10" s="19" t="inlineStr">
        <is>
          <t>06</t>
        </is>
      </c>
      <c r="B10" s="20" t="n">
        <v>46241</v>
      </c>
      <c r="C10" s="19" t="n"/>
      <c r="D10" s="19" t="n"/>
      <c r="E10" s="19" t="inlineStr">
        <is>
          <t>open</t>
        </is>
      </c>
      <c r="F10" s="19" t="n"/>
    </row>
    <row r="11" ht="15" customHeight="1" s="15">
      <c r="A11" s="19" t="inlineStr">
        <is>
          <t>07</t>
        </is>
      </c>
      <c r="B11" s="20" t="n">
        <v>46255</v>
      </c>
      <c r="C11" s="19" t="n"/>
      <c r="D11" s="19" t="n"/>
      <c r="E11" s="19" t="inlineStr">
        <is>
          <t>open</t>
        </is>
      </c>
      <c r="F11" s="19" t="n"/>
    </row>
    <row r="12" ht="15" customHeight="1" s="15">
      <c r="A12" s="19" t="inlineStr">
        <is>
          <t>08</t>
        </is>
      </c>
      <c r="B12" s="20" t="n">
        <v>46269</v>
      </c>
      <c r="C12" s="19" t="n"/>
      <c r="D12" s="19" t="n"/>
      <c r="E12" s="19" t="inlineStr">
        <is>
          <t>open</t>
        </is>
      </c>
      <c r="F12" s="19" t="n"/>
    </row>
    <row r="13" ht="15" customHeight="1" s="15">
      <c r="A13" s="19" t="inlineStr">
        <is>
          <t>09</t>
        </is>
      </c>
      <c r="B13" s="20" t="n">
        <v>46283</v>
      </c>
      <c r="C13" s="19" t="n"/>
      <c r="D13" s="19" t="n"/>
      <c r="E13" s="19" t="inlineStr">
        <is>
          <t>open</t>
        </is>
      </c>
      <c r="F13" s="19" t="n"/>
    </row>
    <row r="14" ht="15" customHeight="1" s="15">
      <c r="A14" s="19" t="inlineStr">
        <is>
          <t>10</t>
        </is>
      </c>
      <c r="B14" s="20" t="n">
        <v>46297</v>
      </c>
      <c r="C14" s="19" t="n"/>
      <c r="D14" s="19" t="n"/>
      <c r="E14" s="19" t="inlineStr">
        <is>
          <t>open</t>
        </is>
      </c>
      <c r="F14" s="19" t="n"/>
    </row>
    <row r="15" ht="15" customHeight="1" s="15">
      <c r="A15" s="19" t="inlineStr">
        <is>
          <t>11</t>
        </is>
      </c>
      <c r="B15" s="20" t="n">
        <v>46311</v>
      </c>
      <c r="C15" s="19" t="n"/>
      <c r="D15" s="19" t="n"/>
      <c r="E15" s="19" t="inlineStr">
        <is>
          <t>open</t>
        </is>
      </c>
      <c r="F15" s="19" t="n"/>
    </row>
    <row r="16" ht="15" customHeight="1" s="15">
      <c r="A16" s="19" t="inlineStr">
        <is>
          <t>12</t>
        </is>
      </c>
      <c r="B16" s="20" t="n">
        <v>46325</v>
      </c>
      <c r="C16" s="19" t="n"/>
      <c r="D16" s="19" t="n"/>
      <c r="E16" s="19" t="inlineStr">
        <is>
          <t>open</t>
        </is>
      </c>
      <c r="F16" s="19" t="n"/>
    </row>
    <row r="17" ht="15" customHeight="1" s="15">
      <c r="A17" s="19" t="inlineStr">
        <is>
          <t>13</t>
        </is>
      </c>
      <c r="B17" s="20" t="n">
        <v>46339</v>
      </c>
      <c r="C17" s="19" t="n"/>
      <c r="D17" s="19" t="n"/>
      <c r="E17" s="19" t="inlineStr">
        <is>
          <t>open</t>
        </is>
      </c>
      <c r="F17" s="19" t="n"/>
    </row>
    <row r="18" ht="15" customHeight="1" s="15">
      <c r="A18" s="19" t="inlineStr">
        <is>
          <t>14</t>
        </is>
      </c>
      <c r="B18" s="20" t="n">
        <v>46353</v>
      </c>
      <c r="C18" s="19" t="n"/>
      <c r="D18" s="19" t="n"/>
      <c r="E18" s="19" t="inlineStr">
        <is>
          <t>open</t>
        </is>
      </c>
      <c r="F18" s="19" t="n"/>
    </row>
    <row r="19" ht="15" customHeight="1" s="15">
      <c r="A19" s="19" t="inlineStr">
        <is>
          <t>15</t>
        </is>
      </c>
      <c r="B19" s="20" t="n">
        <v>46367</v>
      </c>
      <c r="C19" s="19" t="n"/>
      <c r="D19" s="19" t="n"/>
      <c r="E19" s="19" t="inlineStr">
        <is>
          <t>open</t>
        </is>
      </c>
      <c r="F19" s="19" t="n"/>
    </row>
    <row r="20" ht="15" customHeight="1" s="15">
      <c r="A20" s="19" t="inlineStr">
        <is>
          <t>16</t>
        </is>
      </c>
      <c r="B20" s="20" t="n">
        <v>46381</v>
      </c>
      <c r="C20" s="19" t="n"/>
      <c r="D20" s="19" t="n"/>
      <c r="E20" s="19" t="inlineStr">
        <is>
          <t>open</t>
        </is>
      </c>
      <c r="F20" s="19" t="n"/>
    </row>
    <row r="22" ht="15" customHeight="1" s="15">
      <c r="A22" s="21" t="inlineStr">
        <is>
          <t>NOTE: Flips live on SoundCloud only (no DistroKid). Get same social treatment as originals. Mark TYPE = "Flip" in column D.</t>
        </is>
      </c>
    </row>
  </sheetData>
  <mergeCells count="1">
    <mergeCell ref="A22:F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4" min="1" max="1"/>
    <col width="14" customWidth="1" style="14" min="2" max="2"/>
    <col width="34" customWidth="1" style="14" min="3" max="3"/>
    <col width="12" customWidth="1" style="14" min="4" max="5"/>
    <col width="22" customWidth="1" style="14" min="6" max="6"/>
  </cols>
  <sheetData>
    <row r="1" ht="19.7" customHeight="1" s="15">
      <c r="A1" s="16" t="inlineStr">
        <is>
          <t>WOBAR — RELEASE PACKET</t>
        </is>
      </c>
    </row>
    <row r="2" ht="15" customHeight="1" s="15">
      <c r="A2" s="17" t="inlineStr">
        <is>
          <t>One release. Ship it. Archive it. Repeat. Organic only — no paid tools.</t>
        </is>
      </c>
    </row>
    <row r="4" ht="15" customHeight="1" s="15">
      <c r="A4" s="22" t="inlineStr">
        <is>
          <t>0  —  RELEASE IDENTITY</t>
        </is>
      </c>
    </row>
    <row r="5" ht="15" customHeight="1" s="15">
      <c r="A5" s="23" t="inlineStr">
        <is>
          <t>Track name</t>
        </is>
      </c>
      <c r="B5" s="19" t="n"/>
    </row>
    <row r="6" ht="15" customHeight="1" s="15">
      <c r="A6" s="23" t="inlineStr">
        <is>
          <t>Release date</t>
        </is>
      </c>
      <c r="B6" s="19" t="n"/>
    </row>
    <row r="7" ht="15" customHeight="1" s="15">
      <c r="A7" s="23" t="inlineStr">
        <is>
          <t>Track type</t>
        </is>
      </c>
      <c r="B7" s="19" t="inlineStr">
        <is>
          <t>Original / Flip</t>
        </is>
      </c>
    </row>
    <row r="8" ht="57.45" customHeight="1" s="15">
      <c r="A8" s="23" t="inlineStr">
        <is>
          <t>5-Act placement</t>
        </is>
      </c>
      <c r="B8" s="19" t="inlineStr">
        <is>
          <t>Rift  /  Descension  /  Encounter  /  Release  /  Integration</t>
        </is>
      </c>
    </row>
    <row r="9" ht="31.5" customHeight="1" s="15">
      <c r="A9" s="23" t="inlineStr">
        <is>
          <t>Core sonic detail</t>
        </is>
      </c>
      <c r="B9" s="19" t="inlineStr">
        <is>
          <t>One sentence: what makes this track sound like Wobar?</t>
        </is>
      </c>
    </row>
    <row r="11" ht="15" customHeight="1" s="15">
      <c r="A11" s="22" t="inlineStr">
        <is>
          <t>1  —  CONTENT  (5 visualizers + artwork + track = 7 required. BTS is trigger-based, see note.)</t>
        </is>
      </c>
    </row>
    <row r="12" ht="15" customHeight="1" s="15">
      <c r="A12" s="17" t="inlineStr">
        <is>
          <t>Phase 2 = batch session once track is finished. All 7 must exist before T-21. 5 visualizers × 2 platforms = 10 visualizer posts across the release window.</t>
        </is>
      </c>
    </row>
    <row r="13" ht="15" customHeight="1" s="15">
      <c r="A13" s="18" t="inlineStr">
        <is>
          <t>CONTENT PIECE</t>
        </is>
      </c>
      <c r="B13" s="18" t="inlineStr">
        <is>
          <t>TYPE</t>
        </is>
      </c>
      <c r="C13" s="18" t="inlineStr">
        <is>
          <t>PHASE</t>
        </is>
      </c>
      <c r="D13" s="18" t="inlineStr">
        <is>
          <t>COUNT</t>
        </is>
      </c>
      <c r="E13" s="18" t="inlineStr">
        <is>
          <t>PLATFORMS</t>
        </is>
      </c>
      <c r="F13" s="18" t="inlineStr">
        <is>
          <t>DONE</t>
        </is>
      </c>
    </row>
    <row r="14" ht="15" customHeight="1" s="15">
      <c r="A14" s="19" t="inlineStr">
        <is>
          <t>Short clips 30–60s</t>
        </is>
      </c>
      <c r="B14" s="19" t="inlineStr">
        <is>
          <t>Video</t>
        </is>
      </c>
      <c r="C14" s="19" t="inlineStr">
        <is>
          <t>Phase 2</t>
        </is>
      </c>
      <c r="D14" s="19" t="n">
        <v>4</v>
      </c>
      <c r="E14" s="19" t="inlineStr">
        <is>
          <t>TK + IG Reels</t>
        </is>
      </c>
      <c r="F14" s="19" t="inlineStr">
        <is>
          <t>☐</t>
        </is>
      </c>
    </row>
    <row r="15" ht="15" customHeight="1" s="15">
      <c r="A15" s="19" t="inlineStr">
        <is>
          <t>Hook clip 15s</t>
        </is>
      </c>
      <c r="B15" s="19" t="inlineStr">
        <is>
          <t>Video</t>
        </is>
      </c>
      <c r="C15" s="19" t="inlineStr">
        <is>
          <t>Phase 2</t>
        </is>
      </c>
      <c r="D15" s="19" t="n">
        <v>1</v>
      </c>
      <c r="E15" s="19" t="inlineStr">
        <is>
          <t>TK + IG Reels</t>
        </is>
      </c>
      <c r="F15" s="19" t="inlineStr">
        <is>
          <t>☐</t>
        </is>
      </c>
    </row>
    <row r="16" ht="15" customHeight="1" s="15">
      <c r="A16" s="19" t="inlineStr">
        <is>
          <t>Single artwork 3000×3000</t>
        </is>
      </c>
      <c r="B16" s="19" t="inlineStr">
        <is>
          <t>Visual</t>
        </is>
      </c>
      <c r="C16" s="19" t="inlineStr">
        <is>
          <t>Phase 2</t>
        </is>
      </c>
      <c r="D16" s="19" t="n">
        <v>1</v>
      </c>
      <c r="E16" s="19" t="inlineStr">
        <is>
          <t>All platforms</t>
        </is>
      </c>
      <c r="F16" s="19" t="inlineStr">
        <is>
          <t>☐</t>
        </is>
      </c>
    </row>
    <row r="17" ht="23.85" customHeight="1" s="15">
      <c r="A17" s="19" t="inlineStr">
        <is>
          <t>Track upload</t>
        </is>
      </c>
      <c r="B17" s="19" t="inlineStr">
        <is>
          <t>Audio</t>
        </is>
      </c>
      <c r="C17" s="19" t="inlineStr">
        <is>
          <t>Phase 2</t>
        </is>
      </c>
      <c r="D17" s="19" t="n">
        <v>1</v>
      </c>
      <c r="E17" s="19" t="inlineStr">
        <is>
          <t>SC (+ Spotify for originals)</t>
        </is>
      </c>
      <c r="F17" s="19" t="inlineStr">
        <is>
          <t>☐</t>
        </is>
      </c>
    </row>
    <row r="18" ht="15" customHeight="1" s="15">
      <c r="A18" s="24" t="inlineStr">
        <is>
          <t>TOTAL REQUIRED</t>
        </is>
      </c>
      <c r="B18" s="24" t="n"/>
      <c r="C18" s="24" t="n"/>
      <c r="D18" s="24" t="n">
        <v>7</v>
      </c>
      <c r="E18" s="24" t="n"/>
      <c r="F18" s="24" t="n"/>
    </row>
    <row r="20" ht="49.5" customHeight="1" s="15">
      <c r="A20" s="21" t="inlineStr">
        <is>
          <t>⚡ TRIGGER FOLLOW-UP — BTS  |  If any Mirror clip clears 1.5× your 10-post baseline at 48h, capture 1 BTS clip from the TD network (song playing, no voiceover) and post within 24–48h. Cap at 3 trigger posts per release.</t>
        </is>
      </c>
    </row>
    <row r="22" ht="15" customHeight="1" s="15">
      <c r="A22" s="22" t="inlineStr">
        <is>
          <t>2  —  COPY PRODUCTION  (one sit, Phase 2)</t>
        </is>
      </c>
    </row>
    <row r="23" ht="15" customHeight="1" s="15">
      <c r="A23" s="17" t="inlineStr">
        <is>
          <t>Five captions. Run Portal Test → Body Test → Earned Language Test on every piece.</t>
        </is>
      </c>
    </row>
    <row r="24" ht="15" customHeight="1" s="15">
      <c r="A24" s="18" t="inlineStr">
        <is>
          <t>ASSET</t>
        </is>
      </c>
      <c r="B24" s="18" t="inlineStr">
        <is>
          <t>VOICE</t>
        </is>
      </c>
      <c r="C24" s="18" t="inlineStr">
        <is>
          <t>PLATFORM</t>
        </is>
      </c>
      <c r="D24" s="18" t="inlineStr">
        <is>
          <t>HINT</t>
        </is>
      </c>
      <c r="E24" s="18" t="inlineStr">
        <is>
          <t>COPY</t>
        </is>
      </c>
      <c r="F24" s="18" t="inlineStr">
        <is>
          <t>DONE</t>
        </is>
      </c>
    </row>
    <row r="25" ht="79.84999999999999" customHeight="1" s="15">
      <c r="A25" s="19" t="inlineStr">
        <is>
          <t>TikTok caption</t>
        </is>
      </c>
      <c r="B25" s="19" t="inlineStr">
        <is>
          <t>Magician</t>
        </is>
      </c>
      <c r="C25" s="19" t="inlineStr">
        <is>
          <t>TikTok</t>
        </is>
      </c>
      <c r="D25" s="19" t="inlineStr">
        <is>
          <t>Hook in 3 seconds. Cryptic. 1–2 lines + hashtags. Visual carries the weight.</t>
        </is>
      </c>
      <c r="E25" s="19" t="n"/>
      <c r="F25" s="19" t="inlineStr">
        <is>
          <t>☐</t>
        </is>
      </c>
    </row>
    <row r="26" ht="91" customHeight="1" s="15">
      <c r="A26" s="19" t="inlineStr">
        <is>
          <t>IG Reels caption</t>
        </is>
      </c>
      <c r="B26" s="19" t="inlineStr">
        <is>
          <t>Magician</t>
        </is>
      </c>
      <c r="C26" s="19" t="inlineStr">
        <is>
          <t>IG Reels</t>
        </is>
      </c>
      <c r="D26" s="19" t="inlineStr">
        <is>
          <t>2–4 lines. Physical hook → journey hint → open invitation. Never explain the framework.</t>
        </is>
      </c>
      <c r="E26" s="19" t="n"/>
      <c r="F26" s="19" t="inlineStr">
        <is>
          <t>☐</t>
        </is>
      </c>
    </row>
    <row r="27" ht="57.45" customHeight="1" s="15">
      <c r="A27" s="19" t="inlineStr">
        <is>
          <t>Pre-save caption</t>
        </is>
      </c>
      <c r="B27" s="19" t="inlineStr">
        <is>
          <t>Magician</t>
        </is>
      </c>
      <c r="C27" s="19" t="inlineStr">
        <is>
          <t>TK + IG</t>
        </is>
      </c>
      <c r="D27" s="19" t="inlineStr">
        <is>
          <t>Direct ask: save, follow, add to playlist. No hype. Short.</t>
        </is>
      </c>
      <c r="E27" s="19" t="n"/>
      <c r="F27" s="19" t="inlineStr">
        <is>
          <t>☐</t>
        </is>
      </c>
    </row>
    <row r="28" ht="35.05" customHeight="1" s="15">
      <c r="A28" s="19" t="inlineStr">
        <is>
          <t>Release day caption</t>
        </is>
      </c>
      <c r="B28" s="19" t="inlineStr">
        <is>
          <t>Magician</t>
        </is>
      </c>
      <c r="C28" s="19" t="inlineStr">
        <is>
          <t>TK + IG</t>
        </is>
      </c>
      <c r="D28" s="19" t="inlineStr">
        <is>
          <t>Drop moment energy. Link in bio. Short.</t>
        </is>
      </c>
      <c r="E28" s="19" t="n"/>
      <c r="F28" s="19" t="inlineStr">
        <is>
          <t>☐</t>
        </is>
      </c>
    </row>
    <row r="29" ht="68.65000000000001" customHeight="1" s="15">
      <c r="A29" s="19" t="inlineStr">
        <is>
          <t>SoundCloud description</t>
        </is>
      </c>
      <c r="B29" s="19" t="inlineStr">
        <is>
          <t>Magician</t>
        </is>
      </c>
      <c r="C29" s="19" t="inlineStr">
        <is>
          <t>SoundCloud</t>
        </is>
      </c>
      <c r="D29" s="19" t="inlineStr">
        <is>
          <t>2–5 sentences. Technical OK. Act placement can be explicit.</t>
        </is>
      </c>
      <c r="E29" s="19" t="n"/>
      <c r="F29" s="19" t="inlineStr">
        <is>
          <t>☐</t>
        </is>
      </c>
    </row>
    <row r="32" ht="15" customHeight="1" s="15">
      <c r="A32" s="22" t="inlineStr">
        <is>
          <t>3  —  RELEASE EXECUTION</t>
        </is>
      </c>
    </row>
    <row r="33" ht="15" customHeight="1" s="15">
      <c r="A33" s="17" t="inlineStr">
        <is>
          <t>All dates auto-calculate from B6 (Release Date). Stay lean — no paid tools. Organic only.</t>
        </is>
      </c>
    </row>
    <row r="34" ht="15" customHeight="1" s="15">
      <c r="A34" s="25" t="inlineStr">
        <is>
          <t>3A — DISTRIBUTION SETUP  (T-21)</t>
        </is>
      </c>
    </row>
    <row r="35" ht="15" customHeight="1" s="15">
      <c r="A35" s="18" t="inlineStr">
        <is>
          <t>ACTION</t>
        </is>
      </c>
      <c r="B35" s="18" t="inlineStr">
        <is>
          <t>WHEN</t>
        </is>
      </c>
      <c r="C35" s="18" t="inlineStr">
        <is>
          <t>DATE</t>
        </is>
      </c>
      <c r="D35" s="18" t="inlineStr">
        <is>
          <t>NOTES</t>
        </is>
      </c>
      <c r="E35" s="18" t="n"/>
      <c r="F35" s="18" t="inlineStr">
        <is>
          <t>DONE</t>
        </is>
      </c>
    </row>
    <row r="36" ht="57.45" customHeight="1" s="15">
      <c r="A36" s="19" t="inlineStr">
        <is>
          <t>Distributor upload + set Friday release date</t>
        </is>
      </c>
      <c r="B36" s="19" t="inlineStr">
        <is>
          <t>T-21</t>
        </is>
      </c>
      <c r="C36" s="20">
        <f>$B$6-21</f>
        <v/>
      </c>
      <c r="D36" s="19" t="inlineStr">
        <is>
          <t>Originals only. Flips skip — SC upload happens Day 0.</t>
        </is>
      </c>
      <c r="E36" s="19" t="n"/>
      <c r="F36" s="26" t="inlineStr">
        <is>
          <t>☐</t>
        </is>
      </c>
    </row>
    <row r="37" ht="46.25" customHeight="1" s="15">
      <c r="A37" s="19" t="inlineStr">
        <is>
          <t>Landing page updated + pre-save link active</t>
        </is>
      </c>
      <c r="B37" s="19" t="inlineStr">
        <is>
          <t>T-21</t>
        </is>
      </c>
      <c r="C37" s="20">
        <f>$B$6-21</f>
        <v/>
      </c>
      <c r="D37" s="19" t="inlineStr">
        <is>
          <t>DIY pre-save built into existing landing page.</t>
        </is>
      </c>
      <c r="E37" s="19" t="n"/>
      <c r="F37" s="26" t="inlineStr">
        <is>
          <t>☐</t>
        </is>
      </c>
    </row>
    <row r="40" ht="15" customHeight="1" s="15">
      <c r="A40" s="25" t="inlineStr">
        <is>
          <t>3B — POSTING CADENCE  (T-14 → T+7. Default: same-day cross-post to TK + IG.)</t>
        </is>
      </c>
    </row>
    <row r="41" ht="15" customHeight="1" s="15">
      <c r="A41" s="18" t="inlineStr">
        <is>
          <t>DAY</t>
        </is>
      </c>
      <c r="B41" s="18" t="inlineStr">
        <is>
          <t>DATE</t>
        </is>
      </c>
      <c r="C41" s="18" t="inlineStr">
        <is>
          <t>CONTENT</t>
        </is>
      </c>
      <c r="D41" s="18" t="inlineStr">
        <is>
          <t>TIKTOK</t>
        </is>
      </c>
      <c r="E41" s="18" t="inlineStr">
        <is>
          <t>IG REELS</t>
        </is>
      </c>
      <c r="F41" s="18" t="inlineStr">
        <is>
          <t>NOTES</t>
        </is>
      </c>
    </row>
    <row r="42" ht="15" customHeight="1" s="15">
      <c r="A42" s="19" t="inlineStr">
        <is>
          <t>T-14</t>
        </is>
      </c>
      <c r="B42" s="20">
        <f>$B$6-14</f>
        <v/>
      </c>
      <c r="C42" s="19" t="inlineStr">
        <is>
          <t>Short clip #1 + pre-save link in bio</t>
        </is>
      </c>
      <c r="D42" s="26" t="inlineStr">
        <is>
          <t>☐</t>
        </is>
      </c>
      <c r="E42" s="26" t="inlineStr">
        <is>
          <t>☐</t>
        </is>
      </c>
      <c r="F42" s="19" t="inlineStr">
        <is>
          <t>First teaser</t>
        </is>
      </c>
    </row>
    <row r="43" ht="15" customHeight="1" s="15">
      <c r="A43" s="19" t="inlineStr">
        <is>
          <t>T-12</t>
        </is>
      </c>
      <c r="B43" s="20">
        <f>$B$6-12</f>
        <v/>
      </c>
      <c r="C43" s="19" t="inlineStr">
        <is>
          <t>Short clip #2</t>
        </is>
      </c>
      <c r="D43" s="26" t="inlineStr">
        <is>
          <t>☐</t>
        </is>
      </c>
      <c r="E43" s="26" t="inlineStr">
        <is>
          <t>☐</t>
        </is>
      </c>
      <c r="F43" s="19" t="n"/>
    </row>
    <row r="44" ht="15" customHeight="1" s="15">
      <c r="A44" s="19" t="inlineStr">
        <is>
          <t>T-10</t>
        </is>
      </c>
      <c r="B44" s="20">
        <f>$B$6-10</f>
        <v/>
      </c>
      <c r="C44" s="19" t="inlineStr">
        <is>
          <t>Live video #1 (if exists — 0 OK)</t>
        </is>
      </c>
      <c r="D44" s="26" t="inlineStr">
        <is>
          <t>☐</t>
        </is>
      </c>
      <c r="E44" s="26" t="inlineStr">
        <is>
          <t>☐</t>
        </is>
      </c>
      <c r="F44" s="19" t="inlineStr">
        <is>
          <t>Optional</t>
        </is>
      </c>
    </row>
    <row r="45" ht="15" customHeight="1" s="15">
      <c r="A45" s="19" t="inlineStr">
        <is>
          <t>T-7</t>
        </is>
      </c>
      <c r="B45" s="20">
        <f>$B$6-7</f>
        <v/>
      </c>
      <c r="C45" s="19" t="inlineStr">
        <is>
          <t>Hook clip 15s + pre-save push</t>
        </is>
      </c>
      <c r="D45" s="26" t="inlineStr">
        <is>
          <t>☐</t>
        </is>
      </c>
      <c r="E45" s="26" t="inlineStr">
        <is>
          <t>☐</t>
        </is>
      </c>
      <c r="F45" s="19" t="n"/>
    </row>
    <row r="46" ht="15" customHeight="1" s="15">
      <c r="A46" s="19" t="inlineStr">
        <is>
          <t>T-5</t>
        </is>
      </c>
      <c r="B46" s="20">
        <f>$B$6-5</f>
        <v/>
      </c>
      <c r="C46" s="19" t="inlineStr">
        <is>
          <t>Short clip #3</t>
        </is>
      </c>
      <c r="D46" s="26" t="inlineStr">
        <is>
          <t>☐</t>
        </is>
      </c>
      <c r="E46" s="26" t="inlineStr">
        <is>
          <t>☐</t>
        </is>
      </c>
      <c r="F46" s="19" t="n"/>
    </row>
    <row r="47" ht="15" customHeight="1" s="15">
      <c r="A47" s="19" t="inlineStr">
        <is>
          <t>T-3</t>
        </is>
      </c>
      <c r="B47" s="20">
        <f>$B$6-3</f>
        <v/>
      </c>
      <c r="C47" s="19" t="inlineStr">
        <is>
          <t>Live video #2 (if exists — 0 OK)</t>
        </is>
      </c>
      <c r="D47" s="26" t="inlineStr">
        <is>
          <t>☐</t>
        </is>
      </c>
      <c r="E47" s="26" t="inlineStr">
        <is>
          <t>☐</t>
        </is>
      </c>
      <c r="F47" s="19" t="inlineStr">
        <is>
          <t>Optional</t>
        </is>
      </c>
    </row>
    <row r="48" ht="15" customHeight="1" s="15">
      <c r="A48" s="19" t="inlineStr">
        <is>
          <t>Day 0</t>
        </is>
      </c>
      <c r="B48" s="20">
        <f>$B$6</f>
        <v/>
      </c>
      <c r="C48" s="19" t="inlineStr">
        <is>
          <t>Short clip #4 — RELEASE DAY</t>
        </is>
      </c>
      <c r="D48" s="26" t="inlineStr">
        <is>
          <t>☐</t>
        </is>
      </c>
      <c r="E48" s="26" t="inlineStr">
        <is>
          <t>☐</t>
        </is>
      </c>
      <c r="F48" s="19" t="inlineStr">
        <is>
          <t>Primary release push</t>
        </is>
      </c>
    </row>
    <row r="49" ht="23.85" customHeight="1" s="15">
      <c r="A49" s="19" t="inlineStr">
        <is>
          <t>T+3</t>
        </is>
      </c>
      <c r="B49" s="20">
        <f>$B$6+3</f>
        <v/>
      </c>
      <c r="C49" s="19" t="inlineStr">
        <is>
          <t>Repost: top-performing clip + new caption</t>
        </is>
      </c>
      <c r="D49" s="26" t="inlineStr">
        <is>
          <t>☐</t>
        </is>
      </c>
      <c r="E49" s="26" t="inlineStr">
        <is>
          <t>☐</t>
        </is>
      </c>
      <c r="F49" s="19" t="inlineStr">
        <is>
          <t>Use best performer from above</t>
        </is>
      </c>
    </row>
    <row r="50" ht="15" customHeight="1" s="15">
      <c r="A50" s="19" t="inlineStr">
        <is>
          <t>T+7</t>
        </is>
      </c>
      <c r="B50" s="20">
        <f>$B$6+7</f>
        <v/>
      </c>
      <c r="C50" s="19" t="inlineStr">
        <is>
          <t>Repost: second-best clip + new caption</t>
        </is>
      </c>
      <c r="D50" s="26" t="inlineStr">
        <is>
          <t>☐</t>
        </is>
      </c>
      <c r="E50" s="26" t="inlineStr">
        <is>
          <t>☐</t>
        </is>
      </c>
      <c r="F50" s="19" t="n"/>
    </row>
    <row r="53" ht="15" customHeight="1" s="15">
      <c r="A53" s="25" t="inlineStr">
        <is>
          <t>3C — RELEASE DAY MECHANICS  (Day 0, beyond posting)</t>
        </is>
      </c>
    </row>
    <row r="54" ht="15" customHeight="1" s="15">
      <c r="A54" s="18" t="inlineStr">
        <is>
          <t>ACTION</t>
        </is>
      </c>
      <c r="B54" s="18" t="inlineStr">
        <is>
          <t>WHEN</t>
        </is>
      </c>
      <c r="C54" s="18" t="inlineStr">
        <is>
          <t>DATE</t>
        </is>
      </c>
      <c r="D54" s="18" t="inlineStr">
        <is>
          <t>NOTES</t>
        </is>
      </c>
      <c r="E54" s="18" t="n"/>
      <c r="F54" s="18" t="inlineStr">
        <is>
          <t>DONE</t>
        </is>
      </c>
    </row>
    <row r="55" ht="57.45" customHeight="1" s="15">
      <c r="A55" s="19" t="inlineStr">
        <is>
          <t>Track uploaded to SoundCloud</t>
        </is>
      </c>
      <c r="B55" s="19" t="inlineStr">
        <is>
          <t>Day 0</t>
        </is>
      </c>
      <c r="C55" s="20">
        <f>$B$6</f>
        <v/>
      </c>
      <c r="D55" s="19" t="inlineStr">
        <is>
          <t>Flips: SC only. Originals: also live via DistroKid.</t>
        </is>
      </c>
      <c r="E55" s="19" t="n"/>
      <c r="F55" s="26" t="inlineStr">
        <is>
          <t>☐</t>
        </is>
      </c>
    </row>
    <row r="56" ht="35.05" customHeight="1" s="15">
      <c r="A56" s="19" t="inlineStr">
        <is>
          <t>Network ask — DM core network: save + follow + add to playlist</t>
        </is>
      </c>
      <c r="B56" s="19" t="inlineStr">
        <is>
          <t>Day 0</t>
        </is>
      </c>
      <c r="C56" s="20">
        <f>$B$6</f>
        <v/>
      </c>
      <c r="D56" s="19" t="inlineStr">
        <is>
          <t>Free. High-leverage early signal.</t>
        </is>
      </c>
      <c r="E56" s="19" t="n"/>
      <c r="F56" s="26" t="inlineStr">
        <is>
          <t>☐</t>
        </is>
      </c>
    </row>
    <row r="59" ht="15" customHeight="1" s="15">
      <c r="A59" s="25" t="inlineStr">
        <is>
          <t>3D — POST-RELEASE REVIEW  (T+7)</t>
        </is>
      </c>
    </row>
    <row r="60" ht="15" customHeight="1" s="15">
      <c r="A60" s="18" t="inlineStr">
        <is>
          <t>ACTION</t>
        </is>
      </c>
      <c r="B60" s="18" t="inlineStr">
        <is>
          <t>WHEN</t>
        </is>
      </c>
      <c r="C60" s="18" t="inlineStr">
        <is>
          <t>DATE</t>
        </is>
      </c>
      <c r="D60" s="18" t="inlineStr">
        <is>
          <t>NOTES</t>
        </is>
      </c>
      <c r="E60" s="18" t="n"/>
      <c r="F60" s="18" t="inlineStr">
        <is>
          <t>DONE</t>
        </is>
      </c>
    </row>
    <row r="61" ht="57.45" customHeight="1" s="15">
      <c r="A61" s="19" t="inlineStr">
        <is>
          <t>Complete Section 4 review</t>
        </is>
      </c>
      <c r="B61" s="19" t="inlineStr">
        <is>
          <t>T+7</t>
        </is>
      </c>
      <c r="C61" s="20">
        <f>$B$6+7</f>
        <v/>
      </c>
      <c r="D61" s="19" t="inlineStr">
        <is>
          <t>Log save rate, streams, skip rate, best format, BTS trigger status</t>
        </is>
      </c>
      <c r="E61" s="19" t="n"/>
      <c r="F61" s="26" t="inlineStr">
        <is>
          <t>☐</t>
        </is>
      </c>
    </row>
    <row r="62" ht="79.84999999999999" customHeight="1" s="15">
      <c r="A62" s="19" t="inlineStr">
        <is>
          <t>Claim Spotify for Artists (first release only)</t>
        </is>
      </c>
      <c r="B62" s="19" t="inlineStr">
        <is>
          <t>T+7</t>
        </is>
      </c>
      <c r="C62" s="20">
        <f>$B$6+7</f>
        <v/>
      </c>
      <c r="D62" s="19" t="inlineStr">
        <is>
          <t>Skip for releases 2+. Required for editorial pitches on future releases.</t>
        </is>
      </c>
      <c r="E62" s="19" t="n"/>
      <c r="F62" s="26" t="inlineStr">
        <is>
          <t>☐</t>
        </is>
      </c>
    </row>
    <row r="65" ht="15" customHeight="1" s="15">
      <c r="A65" s="22" t="inlineStr">
        <is>
          <t>4  —  REVIEW  (complete at T+7)</t>
        </is>
      </c>
    </row>
    <row r="66" ht="15" customHeight="1" s="15">
      <c r="A66" s="18" t="inlineStr">
        <is>
          <t>METRIC</t>
        </is>
      </c>
      <c r="B66" s="18" t="inlineStr">
        <is>
          <t>TARGET</t>
        </is>
      </c>
      <c r="C66" s="18" t="inlineStr">
        <is>
          <t>ACTUAL</t>
        </is>
      </c>
      <c r="D66" s="18" t="inlineStr">
        <is>
          <t>SIGNAL</t>
        </is>
      </c>
    </row>
    <row r="67" ht="46.25" customHeight="1" s="15">
      <c r="A67" s="19" t="inlineStr">
        <is>
          <t>Save rate</t>
        </is>
      </c>
      <c r="B67" s="19" t="inlineStr">
        <is>
          <t>15%+</t>
        </is>
      </c>
      <c r="C67" s="19" t="n"/>
      <c r="D67" s="19" t="inlineStr">
        <is>
          <t>Below 8% = intro problem. Above 20% = strong signal.</t>
        </is>
      </c>
    </row>
    <row r="68" ht="46.25" customHeight="1" s="15">
      <c r="A68" s="19" t="inlineStr">
        <is>
          <t>Streams — 30 days</t>
        </is>
      </c>
      <c r="B68" s="19" t="inlineStr">
        <is>
          <t>1,000+</t>
        </is>
      </c>
      <c r="C68" s="19" t="n"/>
      <c r="D68" s="19" t="inlineStr">
        <is>
          <t>First meaningful algorithmic threshold.</t>
        </is>
      </c>
    </row>
    <row r="69" ht="46.25" customHeight="1" s="15">
      <c r="A69" s="19" t="inlineStr">
        <is>
          <t>Skip rate</t>
        </is>
      </c>
      <c r="B69" s="19" t="inlineStr">
        <is>
          <t>Below 25%</t>
        </is>
      </c>
      <c r="C69" s="19" t="n"/>
      <c r="D69" s="19" t="inlineStr">
        <is>
          <t>High skips = hook problem. Fix on next release.</t>
        </is>
      </c>
    </row>
    <row r="70" ht="46.25" customHeight="1" s="15">
      <c r="A70" s="19" t="inlineStr">
        <is>
          <t>Top traffic source</t>
        </is>
      </c>
      <c r="B70" s="19" t="inlineStr">
        <is>
          <t>Algorithmic</t>
        </is>
      </c>
      <c r="C70" s="19" t="n"/>
      <c r="D70" s="19" t="inlineStr">
        <is>
          <t>Algorithmic sources = momentum building.</t>
        </is>
      </c>
    </row>
    <row r="71" ht="46.25" customHeight="1" s="15">
      <c r="A71" s="19" t="inlineStr">
        <is>
          <t>Best content format</t>
        </is>
      </c>
      <c r="B71" s="19" t="n"/>
      <c r="C71" s="19" t="n"/>
      <c r="D71" s="19" t="inlineStr">
        <is>
          <t>Which clip drove the most saves? Replicate it.</t>
        </is>
      </c>
    </row>
    <row r="72" ht="35.05" customHeight="1" s="15">
      <c r="A72" s="19" t="inlineStr">
        <is>
          <t>BTS triggered?</t>
        </is>
      </c>
      <c r="B72" s="19" t="inlineStr">
        <is>
          <t>Y/N</t>
        </is>
      </c>
      <c r="C72" s="19" t="n"/>
      <c r="D72" s="19" t="inlineStr">
        <is>
          <t>Did any Mirror clip clear 1.5× baseline?</t>
        </is>
      </c>
    </row>
    <row r="73" ht="15" customHeight="1" s="15">
      <c r="A73" s="19" t="inlineStr">
        <is>
          <t>KEY LEARNING — one thing to carry forward</t>
        </is>
      </c>
      <c r="B73" s="19" t="n"/>
      <c r="C73" s="19" t="n"/>
      <c r="D73" s="19" t="n"/>
    </row>
    <row r="76" ht="15" customHeight="1" s="15">
      <c r="A76" s="22" t="inlineStr">
        <is>
          <t>5  —  CURATOR LOG  (fill as you submit, not as a checklist)</t>
        </is>
      </c>
    </row>
    <row r="77" ht="23.85" customHeight="1" s="15">
      <c r="A77" s="18" t="inlineStr">
        <is>
          <t>CURATOR / PLAYLIST</t>
        </is>
      </c>
      <c r="B77" s="18" t="inlineStr">
        <is>
          <t>PLATFORM</t>
        </is>
      </c>
      <c r="C77" s="18" t="inlineStr">
        <is>
          <t>SUBMITTED</t>
        </is>
      </c>
      <c r="D77" s="18" t="inlineStr">
        <is>
          <t>RESULT</t>
        </is>
      </c>
      <c r="E77" s="18" t="inlineStr">
        <is>
          <t>FOLLOW UP?</t>
        </is>
      </c>
      <c r="F77" s="18" t="inlineStr">
        <is>
          <t>DONE</t>
        </is>
      </c>
    </row>
    <row r="78" ht="15" customHeight="1" s="15">
      <c r="A78" s="19" t="n"/>
      <c r="B78" s="19" t="n"/>
      <c r="C78" s="19" t="n"/>
      <c r="D78" s="19" t="n"/>
      <c r="E78" s="19" t="n"/>
      <c r="F78" s="26" t="inlineStr">
        <is>
          <t>☐</t>
        </is>
      </c>
    </row>
    <row r="79" ht="15" customHeight="1" s="15">
      <c r="A79" s="19" t="n"/>
      <c r="B79" s="19" t="n"/>
      <c r="C79" s="19" t="n"/>
      <c r="D79" s="19" t="n"/>
      <c r="E79" s="19" t="n"/>
      <c r="F79" s="26" t="inlineStr">
        <is>
          <t>☐</t>
        </is>
      </c>
    </row>
    <row r="80" ht="15" customHeight="1" s="15">
      <c r="A80" s="19" t="n"/>
      <c r="B80" s="19" t="n"/>
      <c r="C80" s="19" t="n"/>
      <c r="D80" s="19" t="n"/>
      <c r="E80" s="19" t="n"/>
      <c r="F80" s="26" t="inlineStr">
        <is>
          <t>☐</t>
        </is>
      </c>
    </row>
    <row r="81" ht="15" customHeight="1" s="15">
      <c r="A81" s="19" t="n"/>
      <c r="B81" s="19" t="n"/>
      <c r="C81" s="19" t="n"/>
      <c r="D81" s="19" t="n"/>
      <c r="E81" s="19" t="n"/>
      <c r="F81" s="26" t="inlineStr">
        <is>
          <t>☐</t>
        </is>
      </c>
    </row>
    <row r="82" ht="15" customHeight="1" s="15">
      <c r="A82" s="19" t="n"/>
      <c r="B82" s="19" t="n"/>
      <c r="C82" s="19" t="n"/>
      <c r="D82" s="19" t="n"/>
      <c r="E82" s="19" t="n"/>
      <c r="F82" s="26" t="inlineStr">
        <is>
          <t>☐</t>
        </is>
      </c>
    </row>
    <row r="83" ht="15" customHeight="1" s="15">
      <c r="A83" s="19" t="n"/>
      <c r="B83" s="19" t="n"/>
      <c r="C83" s="19" t="n"/>
      <c r="D83" s="19" t="n"/>
      <c r="E83" s="19" t="n"/>
      <c r="F83" s="26" t="inlineStr">
        <is>
          <t>☐</t>
        </is>
      </c>
    </row>
    <row r="84" ht="15" customHeight="1" s="15">
      <c r="A84" s="19" t="n"/>
      <c r="B84" s="19" t="n"/>
      <c r="C84" s="19" t="n"/>
      <c r="D84" s="19" t="n"/>
      <c r="E84" s="19" t="n"/>
      <c r="F84" s="26" t="inlineStr">
        <is>
          <t>☐</t>
        </is>
      </c>
    </row>
    <row r="85" ht="15" customHeight="1" s="15">
      <c r="A85" s="19" t="n"/>
      <c r="B85" s="19" t="n"/>
      <c r="C85" s="19" t="n"/>
      <c r="D85" s="19" t="n"/>
      <c r="E85" s="19" t="n"/>
      <c r="F85" s="26" t="inlineStr">
        <is>
          <t>☐</t>
        </is>
      </c>
    </row>
  </sheetData>
  <mergeCells count="15">
    <mergeCell ref="A33:F33"/>
    <mergeCell ref="A11:F11"/>
    <mergeCell ref="A76:F76"/>
    <mergeCell ref="A23:F23"/>
    <mergeCell ref="A32:F32"/>
    <mergeCell ref="A22:F22"/>
    <mergeCell ref="A34:F34"/>
    <mergeCell ref="A12:F12"/>
    <mergeCell ref="A4:F4"/>
    <mergeCell ref="A40:F40"/>
    <mergeCell ref="A20:F20"/>
    <mergeCell ref="A53:F53"/>
    <mergeCell ref="B9:F9"/>
    <mergeCell ref="A59:F59"/>
    <mergeCell ref="A65:F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4" min="1" max="1"/>
    <col width="14" customWidth="1" style="14" min="2" max="2"/>
    <col width="34" customWidth="1" style="14" min="3" max="3"/>
    <col width="12" customWidth="1" style="14" min="4" max="5"/>
    <col width="22" customWidth="1" style="14" min="6" max="6"/>
  </cols>
  <sheetData>
    <row r="1" ht="19.7" customHeight="1" s="15">
      <c r="A1" s="16" t="inlineStr">
        <is>
          <t>WOBAR — RELEASE PACKET</t>
        </is>
      </c>
    </row>
    <row r="2" ht="15" customHeight="1" s="15">
      <c r="A2" s="17" t="inlineStr">
        <is>
          <t>One release. Ship it. Archive it. Repeat. Organic only — no paid tools.</t>
        </is>
      </c>
    </row>
    <row r="4" ht="15" customHeight="1" s="15">
      <c r="A4" s="22" t="inlineStr">
        <is>
          <t>0  —  RELEASE IDENTITY</t>
        </is>
      </c>
    </row>
    <row r="5" ht="15" customHeight="1" s="15">
      <c r="A5" s="23" t="inlineStr">
        <is>
          <t>Track name</t>
        </is>
      </c>
      <c r="B5" s="19" t="inlineStr">
        <is>
          <t>MUR</t>
        </is>
      </c>
    </row>
    <row r="6" ht="15" customHeight="1" s="15">
      <c r="A6" s="23" t="inlineStr">
        <is>
          <t>Release date</t>
        </is>
      </c>
      <c r="B6" s="20" t="n">
        <v>46171</v>
      </c>
    </row>
    <row r="7" ht="15" customHeight="1" s="15">
      <c r="A7" s="23" t="inlineStr">
        <is>
          <t>Track type</t>
        </is>
      </c>
      <c r="B7" s="19" t="inlineStr">
        <is>
          <t>Original</t>
        </is>
      </c>
    </row>
    <row r="8" ht="35.05" customHeight="1" s="15">
      <c r="A8" s="23" t="inlineStr">
        <is>
          <t>5-Act placement</t>
        </is>
      </c>
      <c r="B8" s="19" t="inlineStr">
        <is>
          <t>Encounter / Release threshold</t>
        </is>
      </c>
    </row>
    <row r="9" ht="31.5" customHeight="1" s="15">
      <c r="A9" s="23" t="inlineStr">
        <is>
          <t>Core sonic detail</t>
        </is>
      </c>
      <c r="B9" s="19" t="inlineStr">
        <is>
          <t>Heavy and hypnotic. Where the uncomfortableness starts to relax and you start to feel the need to move and release.</t>
        </is>
      </c>
    </row>
    <row r="11" ht="15" customHeight="1" s="15">
      <c r="A11" s="22" t="inlineStr">
        <is>
          <t>1  —  CONTENT  (5 visualizers + artwork + track = 7 required. BTS is trigger-based, see note.)</t>
        </is>
      </c>
    </row>
    <row r="12" ht="15" customHeight="1" s="15">
      <c r="A12" s="17" t="inlineStr">
        <is>
          <t>Phase 2 = batch session once track is finished. All 7 must exist before T-21. 5 visualizers × 2 platforms = 10 visualizer posts across the release window.</t>
        </is>
      </c>
    </row>
    <row r="13" ht="15" customHeight="1" s="15">
      <c r="A13" s="18" t="inlineStr">
        <is>
          <t>CONTENT PIECE</t>
        </is>
      </c>
      <c r="B13" s="18" t="inlineStr">
        <is>
          <t>TYPE</t>
        </is>
      </c>
      <c r="C13" s="18" t="inlineStr">
        <is>
          <t>PHASE</t>
        </is>
      </c>
      <c r="D13" s="18" t="inlineStr">
        <is>
          <t>COUNT</t>
        </is>
      </c>
      <c r="E13" s="18" t="inlineStr">
        <is>
          <t>PLATFORMS</t>
        </is>
      </c>
      <c r="F13" s="18" t="inlineStr">
        <is>
          <t>DONE</t>
        </is>
      </c>
    </row>
    <row r="14" ht="15" customHeight="1" s="15">
      <c r="A14" s="19" t="inlineStr">
        <is>
          <t>Short clips 30–60s</t>
        </is>
      </c>
      <c r="B14" s="19" t="inlineStr">
        <is>
          <t>Video</t>
        </is>
      </c>
      <c r="C14" s="19" t="inlineStr">
        <is>
          <t>Phase 2</t>
        </is>
      </c>
      <c r="D14" s="19" t="n">
        <v>4</v>
      </c>
      <c r="E14" s="19" t="inlineStr">
        <is>
          <t>TK + IG Reels</t>
        </is>
      </c>
      <c r="F14" s="19" t="inlineStr">
        <is>
          <t>☐</t>
        </is>
      </c>
    </row>
    <row r="15" ht="15" customHeight="1" s="15">
      <c r="A15" s="19" t="inlineStr">
        <is>
          <t>Hook clip 15s</t>
        </is>
      </c>
      <c r="B15" s="19" t="inlineStr">
        <is>
          <t>Video</t>
        </is>
      </c>
      <c r="C15" s="19" t="inlineStr">
        <is>
          <t>Phase 2</t>
        </is>
      </c>
      <c r="D15" s="19" t="n">
        <v>1</v>
      </c>
      <c r="E15" s="19" t="inlineStr">
        <is>
          <t>TK + IG Reels</t>
        </is>
      </c>
      <c r="F15" s="19" t="inlineStr">
        <is>
          <t>☐</t>
        </is>
      </c>
    </row>
    <row r="16" ht="15" customHeight="1" s="15">
      <c r="A16" s="19" t="inlineStr">
        <is>
          <t>Single artwork 3000×3000</t>
        </is>
      </c>
      <c r="B16" s="19" t="inlineStr">
        <is>
          <t>Visual</t>
        </is>
      </c>
      <c r="C16" s="19" t="inlineStr">
        <is>
          <t>Phase 2</t>
        </is>
      </c>
      <c r="D16" s="19" t="n">
        <v>1</v>
      </c>
      <c r="E16" s="19" t="inlineStr">
        <is>
          <t>All platforms</t>
        </is>
      </c>
      <c r="F16" s="19" t="inlineStr">
        <is>
          <t>☐</t>
        </is>
      </c>
    </row>
    <row r="17" ht="23.85" customHeight="1" s="15">
      <c r="A17" s="19" t="inlineStr">
        <is>
          <t>Track upload</t>
        </is>
      </c>
      <c r="B17" s="19" t="inlineStr">
        <is>
          <t>Audio</t>
        </is>
      </c>
      <c r="C17" s="19" t="inlineStr">
        <is>
          <t>Phase 2</t>
        </is>
      </c>
      <c r="D17" s="19" t="n">
        <v>1</v>
      </c>
      <c r="E17" s="19" t="inlineStr">
        <is>
          <t>SC (+ Spotify for originals)</t>
        </is>
      </c>
      <c r="F17" s="19" t="inlineStr">
        <is>
          <t>☐</t>
        </is>
      </c>
    </row>
    <row r="18" ht="15" customHeight="1" s="15">
      <c r="A18" s="24" t="inlineStr">
        <is>
          <t>TOTAL REQUIRED</t>
        </is>
      </c>
      <c r="B18" s="24" t="n"/>
      <c r="C18" s="24" t="n"/>
      <c r="D18" s="24" t="n">
        <v>7</v>
      </c>
      <c r="E18" s="24" t="n"/>
      <c r="F18" s="24" t="n"/>
    </row>
    <row r="20" ht="49.5" customHeight="1" s="15">
      <c r="A20" s="21" t="inlineStr">
        <is>
          <t>⚡ TRIGGER FOLLOW-UP — BTS  |  If any Mirror clip clears 1.5× your 10-post baseline at 48h, capture 1 BTS clip from the TD network (song playing, no voiceover) and post within 24–48h. Cap at 3 trigger posts per release.</t>
        </is>
      </c>
    </row>
    <row r="22" ht="15" customHeight="1" s="15">
      <c r="A22" s="22" t="inlineStr">
        <is>
          <t>2  —  COPY PRODUCTION  (one sit, Phase 2)</t>
        </is>
      </c>
    </row>
    <row r="23" ht="15" customHeight="1" s="15">
      <c r="A23" s="17" t="inlineStr">
        <is>
          <t>Five captions. Run Portal Test → Body Test → Earned Language Test on every piece.</t>
        </is>
      </c>
    </row>
    <row r="24" ht="15" customHeight="1" s="15">
      <c r="A24" s="18" t="inlineStr">
        <is>
          <t>ASSET</t>
        </is>
      </c>
      <c r="B24" s="18" t="inlineStr">
        <is>
          <t>VOICE</t>
        </is>
      </c>
      <c r="C24" s="18" t="inlineStr">
        <is>
          <t>PLATFORM</t>
        </is>
      </c>
      <c r="D24" s="18" t="inlineStr">
        <is>
          <t>HINT</t>
        </is>
      </c>
      <c r="E24" s="18" t="inlineStr">
        <is>
          <t>COPY</t>
        </is>
      </c>
      <c r="F24" s="18" t="inlineStr">
        <is>
          <t>DONE</t>
        </is>
      </c>
    </row>
    <row r="25" ht="79.84999999999999" customHeight="1" s="15">
      <c r="A25" s="19" t="inlineStr">
        <is>
          <t>TikTok caption</t>
        </is>
      </c>
      <c r="B25" s="19" t="inlineStr">
        <is>
          <t>Magician</t>
        </is>
      </c>
      <c r="C25" s="19" t="inlineStr">
        <is>
          <t>TikTok</t>
        </is>
      </c>
      <c r="D25" s="19" t="inlineStr">
        <is>
          <t>Hook in 3 seconds. Cryptic. 1–2 lines + hashtags. Visual carries the weight.</t>
        </is>
      </c>
      <c r="E25" s="19" t="n"/>
      <c r="F25" s="19" t="inlineStr">
        <is>
          <t>☐</t>
        </is>
      </c>
    </row>
    <row r="26" ht="91" customHeight="1" s="15">
      <c r="A26" s="19" t="inlineStr">
        <is>
          <t>IG Reels caption</t>
        </is>
      </c>
      <c r="B26" s="19" t="inlineStr">
        <is>
          <t>Magician</t>
        </is>
      </c>
      <c r="C26" s="19" t="inlineStr">
        <is>
          <t>IG Reels</t>
        </is>
      </c>
      <c r="D26" s="19" t="inlineStr">
        <is>
          <t>2–4 lines. Physical hook → journey hint → open invitation. Never explain the framework.</t>
        </is>
      </c>
      <c r="E26" s="19" t="n"/>
      <c r="F26" s="19" t="inlineStr">
        <is>
          <t>☐</t>
        </is>
      </c>
    </row>
    <row r="27" ht="57.45" customHeight="1" s="15">
      <c r="A27" s="19" t="inlineStr">
        <is>
          <t>Pre-save caption</t>
        </is>
      </c>
      <c r="B27" s="19" t="inlineStr">
        <is>
          <t>Magician</t>
        </is>
      </c>
      <c r="C27" s="19" t="inlineStr">
        <is>
          <t>TK + IG</t>
        </is>
      </c>
      <c r="D27" s="19" t="inlineStr">
        <is>
          <t>Direct ask: save, follow, add to playlist. No hype. Short.</t>
        </is>
      </c>
      <c r="E27" s="19" t="n"/>
      <c r="F27" s="19" t="inlineStr">
        <is>
          <t>☐</t>
        </is>
      </c>
    </row>
    <row r="28" ht="35.05" customHeight="1" s="15">
      <c r="A28" s="19" t="inlineStr">
        <is>
          <t>Release day caption</t>
        </is>
      </c>
      <c r="B28" s="19" t="inlineStr">
        <is>
          <t>Magician</t>
        </is>
      </c>
      <c r="C28" s="19" t="inlineStr">
        <is>
          <t>TK + IG</t>
        </is>
      </c>
      <c r="D28" s="19" t="inlineStr">
        <is>
          <t>Drop moment energy. Link in bio. Short.</t>
        </is>
      </c>
      <c r="E28" s="19" t="n"/>
      <c r="F28" s="19" t="inlineStr">
        <is>
          <t>☐</t>
        </is>
      </c>
    </row>
    <row r="29" ht="68.65000000000001" customHeight="1" s="15">
      <c r="A29" s="19" t="inlineStr">
        <is>
          <t>SoundCloud description</t>
        </is>
      </c>
      <c r="B29" s="19" t="inlineStr">
        <is>
          <t>Magician</t>
        </is>
      </c>
      <c r="C29" s="19" t="inlineStr">
        <is>
          <t>SoundCloud</t>
        </is>
      </c>
      <c r="D29" s="19" t="inlineStr">
        <is>
          <t>2–5 sentences. Technical OK. Act placement can be explicit.</t>
        </is>
      </c>
      <c r="E29" s="19" t="n"/>
      <c r="F29" s="19" t="inlineStr">
        <is>
          <t>☐</t>
        </is>
      </c>
    </row>
    <row r="32" ht="15" customHeight="1" s="15">
      <c r="A32" s="22" t="inlineStr">
        <is>
          <t>3  —  RELEASE EXECUTION</t>
        </is>
      </c>
    </row>
    <row r="33" ht="15" customHeight="1" s="15">
      <c r="A33" s="17" t="inlineStr">
        <is>
          <t>All dates auto-calculate from B6 (Release Date). Stay lean — no paid tools. Organic only.</t>
        </is>
      </c>
    </row>
    <row r="34" ht="15" customHeight="1" s="15">
      <c r="A34" s="25" t="inlineStr">
        <is>
          <t>3A — DISTRIBUTION SETUP  (T-21)</t>
        </is>
      </c>
    </row>
    <row r="35" ht="15" customHeight="1" s="15">
      <c r="A35" s="18" t="inlineStr">
        <is>
          <t>ACTION</t>
        </is>
      </c>
      <c r="B35" s="18" t="inlineStr">
        <is>
          <t>WHEN</t>
        </is>
      </c>
      <c r="C35" s="18" t="inlineStr">
        <is>
          <t>DATE</t>
        </is>
      </c>
      <c r="D35" s="18" t="inlineStr">
        <is>
          <t>NOTES</t>
        </is>
      </c>
      <c r="E35" s="18" t="n"/>
      <c r="F35" s="18" t="inlineStr">
        <is>
          <t>DONE</t>
        </is>
      </c>
    </row>
    <row r="36" ht="57.45" customHeight="1" s="15">
      <c r="A36" s="19" t="inlineStr">
        <is>
          <t>Distributor upload + set Friday release date</t>
        </is>
      </c>
      <c r="B36" s="19" t="inlineStr">
        <is>
          <t>T-21</t>
        </is>
      </c>
      <c r="C36" s="20">
        <f>$B$6-21</f>
        <v/>
      </c>
      <c r="D36" s="19" t="inlineStr">
        <is>
          <t>Originals only. Flips skip — SC upload happens Day 0.</t>
        </is>
      </c>
      <c r="E36" s="19" t="n"/>
      <c r="F36" s="27" t="inlineStr">
        <is>
          <t>☑</t>
        </is>
      </c>
    </row>
    <row r="37" ht="46.25" customHeight="1" s="15">
      <c r="A37" s="19" t="inlineStr">
        <is>
          <t>Landing page updated + pre-save link active</t>
        </is>
      </c>
      <c r="B37" s="19" t="inlineStr">
        <is>
          <t>T-21</t>
        </is>
      </c>
      <c r="C37" s="20">
        <f>$B$6-21</f>
        <v/>
      </c>
      <c r="D37" s="19" t="inlineStr">
        <is>
          <t>DIY pre-save built into existing landing page.</t>
        </is>
      </c>
      <c r="E37" s="19" t="n"/>
      <c r="F37" s="26" t="inlineStr">
        <is>
          <t>☐</t>
        </is>
      </c>
    </row>
    <row r="40" ht="15" customHeight="1" s="15">
      <c r="A40" s="25" t="inlineStr">
        <is>
          <t>3B — POSTING CADENCE  (T-14 → T+7. Default: same-day cross-post to TK + IG.)</t>
        </is>
      </c>
    </row>
    <row r="41" ht="15" customHeight="1" s="15">
      <c r="A41" s="18" t="inlineStr">
        <is>
          <t>DAY</t>
        </is>
      </c>
      <c r="B41" s="18" t="inlineStr">
        <is>
          <t>DATE</t>
        </is>
      </c>
      <c r="C41" s="18" t="inlineStr">
        <is>
          <t>CONTENT</t>
        </is>
      </c>
      <c r="D41" s="18" t="inlineStr">
        <is>
          <t>TIKTOK</t>
        </is>
      </c>
      <c r="E41" s="18" t="inlineStr">
        <is>
          <t>IG REELS</t>
        </is>
      </c>
      <c r="F41" s="18" t="inlineStr">
        <is>
          <t>NOTES</t>
        </is>
      </c>
    </row>
    <row r="42" ht="15" customHeight="1" s="15">
      <c r="A42" s="19" t="inlineStr">
        <is>
          <t>T-14</t>
        </is>
      </c>
      <c r="B42" s="20">
        <f>$B$6-14</f>
        <v/>
      </c>
      <c r="C42" s="19" t="inlineStr">
        <is>
          <t>Short clip #1 + pre-save link in bio</t>
        </is>
      </c>
      <c r="D42" s="26" t="inlineStr">
        <is>
          <t>☐</t>
        </is>
      </c>
      <c r="E42" s="26" t="inlineStr">
        <is>
          <t>☐</t>
        </is>
      </c>
      <c r="F42" s="19" t="inlineStr">
        <is>
          <t>First teaser</t>
        </is>
      </c>
    </row>
    <row r="43" ht="15" customHeight="1" s="15">
      <c r="A43" s="19" t="inlineStr">
        <is>
          <t>T-12</t>
        </is>
      </c>
      <c r="B43" s="20">
        <f>$B$6-12</f>
        <v/>
      </c>
      <c r="C43" s="19" t="inlineStr">
        <is>
          <t>Short clip #2</t>
        </is>
      </c>
      <c r="D43" s="26" t="inlineStr">
        <is>
          <t>☐</t>
        </is>
      </c>
      <c r="E43" s="26" t="inlineStr">
        <is>
          <t>☐</t>
        </is>
      </c>
      <c r="F43" s="19" t="n"/>
    </row>
    <row r="44" ht="15" customHeight="1" s="15">
      <c r="A44" s="19" t="inlineStr">
        <is>
          <t>T-10</t>
        </is>
      </c>
      <c r="B44" s="20">
        <f>$B$6-10</f>
        <v/>
      </c>
      <c r="C44" s="19" t="inlineStr">
        <is>
          <t>Live video #1 (if exists — 0 OK)</t>
        </is>
      </c>
      <c r="D44" s="26" t="inlineStr">
        <is>
          <t>☐</t>
        </is>
      </c>
      <c r="E44" s="26" t="inlineStr">
        <is>
          <t>☐</t>
        </is>
      </c>
      <c r="F44" s="19" t="inlineStr">
        <is>
          <t>Optional</t>
        </is>
      </c>
    </row>
    <row r="45" ht="15" customHeight="1" s="15">
      <c r="A45" s="19" t="inlineStr">
        <is>
          <t>T-7</t>
        </is>
      </c>
      <c r="B45" s="20">
        <f>$B$6-7</f>
        <v/>
      </c>
      <c r="C45" s="19" t="inlineStr">
        <is>
          <t>Hook clip 15s + pre-save push</t>
        </is>
      </c>
      <c r="D45" s="26" t="inlineStr">
        <is>
          <t>☐</t>
        </is>
      </c>
      <c r="E45" s="26" t="inlineStr">
        <is>
          <t>☐</t>
        </is>
      </c>
      <c r="F45" s="19" t="n"/>
    </row>
    <row r="46" ht="15" customHeight="1" s="15">
      <c r="A46" s="19" t="inlineStr">
        <is>
          <t>T-5</t>
        </is>
      </c>
      <c r="B46" s="20">
        <f>$B$6-5</f>
        <v/>
      </c>
      <c r="C46" s="19" t="inlineStr">
        <is>
          <t>Short clip #3</t>
        </is>
      </c>
      <c r="D46" s="26" t="inlineStr">
        <is>
          <t>☐</t>
        </is>
      </c>
      <c r="E46" s="26" t="inlineStr">
        <is>
          <t>☐</t>
        </is>
      </c>
      <c r="F46" s="19" t="n"/>
    </row>
    <row r="47" ht="15" customHeight="1" s="15">
      <c r="A47" s="19" t="inlineStr">
        <is>
          <t>T-3</t>
        </is>
      </c>
      <c r="B47" s="20">
        <f>$B$6-3</f>
        <v/>
      </c>
      <c r="C47" s="19" t="inlineStr">
        <is>
          <t>Live video #2 (if exists — 0 OK)</t>
        </is>
      </c>
      <c r="D47" s="26" t="inlineStr">
        <is>
          <t>☐</t>
        </is>
      </c>
      <c r="E47" s="26" t="inlineStr">
        <is>
          <t>☐</t>
        </is>
      </c>
      <c r="F47" s="19" t="inlineStr">
        <is>
          <t>Optional</t>
        </is>
      </c>
    </row>
    <row r="48" ht="15" customHeight="1" s="15">
      <c r="A48" s="19" t="inlineStr">
        <is>
          <t>Day 0</t>
        </is>
      </c>
      <c r="B48" s="20">
        <f>$B$6</f>
        <v/>
      </c>
      <c r="C48" s="19" t="inlineStr">
        <is>
          <t>Short clip #4 — RELEASE DAY</t>
        </is>
      </c>
      <c r="D48" s="26" t="inlineStr">
        <is>
          <t>☐</t>
        </is>
      </c>
      <c r="E48" s="26" t="inlineStr">
        <is>
          <t>☐</t>
        </is>
      </c>
      <c r="F48" s="19" t="inlineStr">
        <is>
          <t>Primary release push</t>
        </is>
      </c>
    </row>
    <row r="49" ht="23.85" customHeight="1" s="15">
      <c r="A49" s="19" t="inlineStr">
        <is>
          <t>T+3</t>
        </is>
      </c>
      <c r="B49" s="20">
        <f>$B$6+3</f>
        <v/>
      </c>
      <c r="C49" s="19" t="inlineStr">
        <is>
          <t>Repost: top-performing clip + new caption</t>
        </is>
      </c>
      <c r="D49" s="26" t="inlineStr">
        <is>
          <t>☐</t>
        </is>
      </c>
      <c r="E49" s="26" t="inlineStr">
        <is>
          <t>☐</t>
        </is>
      </c>
      <c r="F49" s="19" t="inlineStr">
        <is>
          <t>Use best performer from above</t>
        </is>
      </c>
    </row>
    <row r="50" ht="15" customHeight="1" s="15">
      <c r="A50" s="19" t="inlineStr">
        <is>
          <t>T+7</t>
        </is>
      </c>
      <c r="B50" s="20">
        <f>$B$6+7</f>
        <v/>
      </c>
      <c r="C50" s="19" t="inlineStr">
        <is>
          <t>Repost: second-best clip + new caption</t>
        </is>
      </c>
      <c r="D50" s="26" t="inlineStr">
        <is>
          <t>☐</t>
        </is>
      </c>
      <c r="E50" s="26" t="inlineStr">
        <is>
          <t>☐</t>
        </is>
      </c>
      <c r="F50" s="19" t="inlineStr"/>
    </row>
    <row r="53" ht="15" customHeight="1" s="15">
      <c r="A53" s="25" t="inlineStr">
        <is>
          <t>3C — RELEASE DAY MECHANICS  (Day 0, beyond posting)</t>
        </is>
      </c>
    </row>
    <row r="54" ht="15" customHeight="1" s="15">
      <c r="A54" s="18" t="inlineStr">
        <is>
          <t>ACTION</t>
        </is>
      </c>
      <c r="B54" s="18" t="inlineStr">
        <is>
          <t>WHEN</t>
        </is>
      </c>
      <c r="C54" s="18" t="inlineStr">
        <is>
          <t>DATE</t>
        </is>
      </c>
      <c r="D54" s="18" t="inlineStr">
        <is>
          <t>NOTES</t>
        </is>
      </c>
      <c r="E54" s="18" t="n"/>
      <c r="F54" s="18" t="inlineStr">
        <is>
          <t>DONE</t>
        </is>
      </c>
    </row>
    <row r="55" ht="57.45" customHeight="1" s="15">
      <c r="A55" s="19" t="inlineStr">
        <is>
          <t>Track uploaded to SoundCloud</t>
        </is>
      </c>
      <c r="B55" s="19" t="inlineStr">
        <is>
          <t>Day 0</t>
        </is>
      </c>
      <c r="C55" s="20">
        <f>$B$6</f>
        <v/>
      </c>
      <c r="D55" s="19" t="inlineStr">
        <is>
          <t>Flips: SC only. Originals: also live via DistroKid.</t>
        </is>
      </c>
      <c r="E55" s="19" t="n"/>
      <c r="F55" s="26" t="inlineStr">
        <is>
          <t>☐</t>
        </is>
      </c>
    </row>
    <row r="56" ht="35.05" customHeight="1" s="15">
      <c r="A56" s="19" t="inlineStr">
        <is>
          <t>Network ask — DM core network: save + follow + add to playlist</t>
        </is>
      </c>
      <c r="B56" s="19" t="inlineStr">
        <is>
          <t>Day 0</t>
        </is>
      </c>
      <c r="C56" s="20">
        <f>$B$6</f>
        <v/>
      </c>
      <c r="D56" s="19" t="inlineStr">
        <is>
          <t>Free. High-leverage early signal.</t>
        </is>
      </c>
      <c r="E56" s="19" t="n"/>
      <c r="F56" s="26" t="inlineStr">
        <is>
          <t>☐</t>
        </is>
      </c>
    </row>
    <row r="59" ht="15" customHeight="1" s="15">
      <c r="A59" s="25" t="inlineStr">
        <is>
          <t>3D — POST-RELEASE REVIEW  (T+7)</t>
        </is>
      </c>
    </row>
    <row r="60" ht="15" customHeight="1" s="15">
      <c r="A60" s="18" t="inlineStr">
        <is>
          <t>ACTION</t>
        </is>
      </c>
      <c r="B60" s="18" t="inlineStr">
        <is>
          <t>WHEN</t>
        </is>
      </c>
      <c r="C60" s="18" t="inlineStr">
        <is>
          <t>DATE</t>
        </is>
      </c>
      <c r="D60" s="18" t="inlineStr">
        <is>
          <t>NOTES</t>
        </is>
      </c>
      <c r="E60" s="18" t="n"/>
      <c r="F60" s="18" t="inlineStr">
        <is>
          <t>DONE</t>
        </is>
      </c>
    </row>
    <row r="61" ht="57.45" customHeight="1" s="15">
      <c r="A61" s="19" t="inlineStr">
        <is>
          <t>Complete Section 4 review</t>
        </is>
      </c>
      <c r="B61" s="19" t="inlineStr">
        <is>
          <t>T+7</t>
        </is>
      </c>
      <c r="C61" s="20">
        <f>$B$6+7</f>
        <v/>
      </c>
      <c r="D61" s="19" t="inlineStr">
        <is>
          <t>Log save rate, streams, skip rate, best format, BTS trigger status</t>
        </is>
      </c>
      <c r="E61" s="19" t="n"/>
      <c r="F61" s="26" t="inlineStr">
        <is>
          <t>☐</t>
        </is>
      </c>
    </row>
    <row r="62" ht="79.84999999999999" customHeight="1" s="15">
      <c r="A62" s="19" t="inlineStr">
        <is>
          <t>Claim Spotify for Artists (first release only)</t>
        </is>
      </c>
      <c r="B62" s="19" t="inlineStr">
        <is>
          <t>T+7</t>
        </is>
      </c>
      <c r="C62" s="20">
        <f>$B$6+7</f>
        <v/>
      </c>
      <c r="D62" s="19" t="inlineStr">
        <is>
          <t>Skip for releases 2+. Required for editorial pitches on future releases.</t>
        </is>
      </c>
      <c r="E62" s="19" t="n"/>
      <c r="F62" s="26" t="inlineStr">
        <is>
          <t>☐</t>
        </is>
      </c>
    </row>
    <row r="65" ht="15" customHeight="1" s="15">
      <c r="A65" s="22" t="inlineStr">
        <is>
          <t>4  —  REVIEW  (complete at T+7)</t>
        </is>
      </c>
    </row>
    <row r="66" ht="15" customHeight="1" s="15">
      <c r="A66" s="18" t="inlineStr">
        <is>
          <t>METRIC</t>
        </is>
      </c>
      <c r="B66" s="18" t="inlineStr">
        <is>
          <t>TARGET</t>
        </is>
      </c>
      <c r="C66" s="18" t="inlineStr">
        <is>
          <t>ACTUAL</t>
        </is>
      </c>
      <c r="D66" s="18" t="inlineStr">
        <is>
          <t>SIGNAL</t>
        </is>
      </c>
    </row>
    <row r="67" ht="46.25" customHeight="1" s="15">
      <c r="A67" s="19" t="inlineStr">
        <is>
          <t>Save rate</t>
        </is>
      </c>
      <c r="B67" s="19" t="inlineStr">
        <is>
          <t>15%+</t>
        </is>
      </c>
      <c r="C67" s="19" t="n"/>
      <c r="D67" s="19" t="inlineStr">
        <is>
          <t>Below 8% = intro problem. Above 20% = strong signal.</t>
        </is>
      </c>
    </row>
    <row r="68" ht="46.25" customHeight="1" s="15">
      <c r="A68" s="19" t="inlineStr">
        <is>
          <t>Streams — 30 days</t>
        </is>
      </c>
      <c r="B68" s="19" t="inlineStr">
        <is>
          <t>1,000+</t>
        </is>
      </c>
      <c r="C68" s="19" t="n"/>
      <c r="D68" s="19" t="inlineStr">
        <is>
          <t>First meaningful algorithmic threshold.</t>
        </is>
      </c>
    </row>
    <row r="69" ht="46.25" customHeight="1" s="15">
      <c r="A69" s="19" t="inlineStr">
        <is>
          <t>Skip rate</t>
        </is>
      </c>
      <c r="B69" s="19" t="inlineStr">
        <is>
          <t>Below 25%</t>
        </is>
      </c>
      <c r="C69" s="19" t="n"/>
      <c r="D69" s="19" t="inlineStr">
        <is>
          <t>High skips = hook problem. Fix on next release.</t>
        </is>
      </c>
    </row>
    <row r="70" ht="46.25" customHeight="1" s="15">
      <c r="A70" s="19" t="inlineStr">
        <is>
          <t>Top traffic source</t>
        </is>
      </c>
      <c r="B70" s="19" t="inlineStr">
        <is>
          <t>Algorithmic</t>
        </is>
      </c>
      <c r="C70" s="19" t="n"/>
      <c r="D70" s="19" t="inlineStr">
        <is>
          <t>Algorithmic sources = momentum building.</t>
        </is>
      </c>
    </row>
    <row r="71" ht="46.25" customHeight="1" s="15">
      <c r="A71" s="19" t="inlineStr">
        <is>
          <t>Best content format</t>
        </is>
      </c>
      <c r="B71" s="19" t="n"/>
      <c r="C71" s="19" t="n"/>
      <c r="D71" s="19" t="inlineStr">
        <is>
          <t>Which clip drove the most saves? Replicate it.</t>
        </is>
      </c>
    </row>
    <row r="72" ht="35.05" customHeight="1" s="15">
      <c r="A72" s="19" t="inlineStr">
        <is>
          <t>BTS triggered?</t>
        </is>
      </c>
      <c r="B72" s="19" t="inlineStr">
        <is>
          <t>Y/N</t>
        </is>
      </c>
      <c r="C72" s="19" t="n"/>
      <c r="D72" s="19" t="inlineStr">
        <is>
          <t>Did any Mirror clip clear 1.5× baseline?</t>
        </is>
      </c>
    </row>
    <row r="73" ht="15" customHeight="1" s="15">
      <c r="A73" s="19" t="inlineStr">
        <is>
          <t>KEY LEARNING — one thing to carry forward</t>
        </is>
      </c>
      <c r="B73" s="19" t="n"/>
      <c r="C73" s="19" t="n"/>
      <c r="D73" s="19" t="n"/>
    </row>
    <row r="76" ht="15" customHeight="1" s="15">
      <c r="A76" s="22" t="inlineStr">
        <is>
          <t>5  —  CURATOR LOG  (fill as you submit, not as a checklist)</t>
        </is>
      </c>
    </row>
    <row r="77" ht="23.85" customHeight="1" s="15">
      <c r="A77" s="18" t="inlineStr">
        <is>
          <t>CURATOR / PLAYLIST</t>
        </is>
      </c>
      <c r="B77" s="18" t="inlineStr">
        <is>
          <t>PLATFORM</t>
        </is>
      </c>
      <c r="C77" s="18" t="inlineStr">
        <is>
          <t>SUBMITTED</t>
        </is>
      </c>
      <c r="D77" s="18" t="inlineStr">
        <is>
          <t>RESULT</t>
        </is>
      </c>
      <c r="E77" s="18" t="inlineStr">
        <is>
          <t>FOLLOW UP?</t>
        </is>
      </c>
      <c r="F77" s="18" t="inlineStr">
        <is>
          <t>DONE</t>
        </is>
      </c>
    </row>
    <row r="78" ht="15" customHeight="1" s="15">
      <c r="A78" s="19" t="n"/>
      <c r="B78" s="19" t="n"/>
      <c r="C78" s="19" t="n"/>
      <c r="D78" s="19" t="n"/>
      <c r="E78" s="19" t="n"/>
      <c r="F78" s="26" t="inlineStr">
        <is>
          <t>☐</t>
        </is>
      </c>
    </row>
    <row r="79" ht="15" customHeight="1" s="15">
      <c r="A79" s="19" t="n"/>
      <c r="B79" s="19" t="n"/>
      <c r="C79" s="19" t="n"/>
      <c r="D79" s="19" t="n"/>
      <c r="E79" s="19" t="n"/>
      <c r="F79" s="26" t="inlineStr">
        <is>
          <t>☐</t>
        </is>
      </c>
    </row>
    <row r="80" ht="15" customHeight="1" s="15">
      <c r="A80" s="19" t="n"/>
      <c r="B80" s="19" t="n"/>
      <c r="C80" s="19" t="n"/>
      <c r="D80" s="19" t="n"/>
      <c r="E80" s="19" t="n"/>
      <c r="F80" s="26" t="inlineStr">
        <is>
          <t>☐</t>
        </is>
      </c>
    </row>
    <row r="81" ht="15" customHeight="1" s="15">
      <c r="A81" s="19" t="n"/>
      <c r="B81" s="19" t="n"/>
      <c r="C81" s="19" t="n"/>
      <c r="D81" s="19" t="n"/>
      <c r="E81" s="19" t="n"/>
      <c r="F81" s="26" t="inlineStr">
        <is>
          <t>☐</t>
        </is>
      </c>
    </row>
    <row r="82" ht="15" customHeight="1" s="15">
      <c r="A82" s="19" t="n"/>
      <c r="B82" s="19" t="n"/>
      <c r="C82" s="19" t="n"/>
      <c r="D82" s="19" t="n"/>
      <c r="E82" s="19" t="n"/>
      <c r="F82" s="26" t="inlineStr">
        <is>
          <t>☐</t>
        </is>
      </c>
    </row>
    <row r="83" ht="15" customHeight="1" s="15">
      <c r="A83" s="19" t="n"/>
      <c r="B83" s="19" t="n"/>
      <c r="C83" s="19" t="n"/>
      <c r="D83" s="19" t="n"/>
      <c r="E83" s="19" t="n"/>
      <c r="F83" s="26" t="inlineStr">
        <is>
          <t>☐</t>
        </is>
      </c>
    </row>
    <row r="84" ht="15" customHeight="1" s="15">
      <c r="A84" s="19" t="n"/>
      <c r="B84" s="19" t="n"/>
      <c r="C84" s="19" t="n"/>
      <c r="D84" s="19" t="n"/>
      <c r="E84" s="19" t="n"/>
      <c r="F84" s="26" t="inlineStr">
        <is>
          <t>☐</t>
        </is>
      </c>
    </row>
    <row r="85" ht="15" customHeight="1" s="15">
      <c r="A85" s="19" t="n"/>
      <c r="B85" s="19" t="n"/>
      <c r="C85" s="19" t="n"/>
      <c r="D85" s="19" t="n"/>
      <c r="E85" s="19" t="n"/>
      <c r="F85" s="26" t="inlineStr">
        <is>
          <t>☐</t>
        </is>
      </c>
    </row>
  </sheetData>
  <mergeCells count="15">
    <mergeCell ref="A33:F33"/>
    <mergeCell ref="A11:F11"/>
    <mergeCell ref="A76:F76"/>
    <mergeCell ref="A23:F23"/>
    <mergeCell ref="A32:F32"/>
    <mergeCell ref="A22:F22"/>
    <mergeCell ref="A34:F34"/>
    <mergeCell ref="A12:F12"/>
    <mergeCell ref="A4:F4"/>
    <mergeCell ref="A40:F40"/>
    <mergeCell ref="A20:F20"/>
    <mergeCell ref="A53:F53"/>
    <mergeCell ref="B9:F9"/>
    <mergeCell ref="A59:F59"/>
    <mergeCell ref="A65:F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8" customWidth="1" style="14" min="2" max="2"/>
    <col width="10" customWidth="1" style="14" min="3" max="3"/>
    <col width="14" customWidth="1" style="14" min="4" max="4"/>
    <col width="12" customWidth="1" style="14" min="5" max="5"/>
    <col width="11" customWidth="1" style="14" min="6" max="6"/>
    <col width="14" customWidth="1" style="14" min="7" max="7"/>
    <col width="50" customWidth="1" style="14" min="8" max="8"/>
  </cols>
  <sheetData>
    <row r="1" ht="19.7" customHeight="1" s="15">
      <c r="A1" s="16" t="inlineStr">
        <is>
          <t>WOBAR — RELEASE ARCHIVE</t>
        </is>
      </c>
    </row>
    <row r="2" ht="15" customHeight="1" s="15">
      <c r="A2" s="17" t="inlineStr">
        <is>
          <t>Duplicate the TEMPLATE tab for each new release. Log it here after T+7 review.</t>
        </is>
      </c>
    </row>
    <row r="4" ht="23.85" customHeight="1" s="15">
      <c r="A4" s="18" t="inlineStr">
        <is>
          <t>#</t>
        </is>
      </c>
      <c r="B4" s="18" t="inlineStr">
        <is>
          <t>TRACK NAME</t>
        </is>
      </c>
      <c r="C4" s="18" t="inlineStr">
        <is>
          <t>TYPE</t>
        </is>
      </c>
      <c r="D4" s="18" t="inlineStr">
        <is>
          <t>RELEASE DATE</t>
        </is>
      </c>
      <c r="E4" s="18" t="inlineStr">
        <is>
          <t>STREAMS 30d</t>
        </is>
      </c>
      <c r="F4" s="18" t="inlineStr">
        <is>
          <t>SAVE RATE</t>
        </is>
      </c>
      <c r="G4" s="18" t="inlineStr">
        <is>
          <t>BTS TRIGGERED</t>
        </is>
      </c>
      <c r="H4" s="18" t="inlineStr">
        <is>
          <t>KEY LEARNING</t>
        </is>
      </c>
    </row>
    <row r="5" ht="15" customHeight="1" s="15">
      <c r="A5" s="19" t="inlineStr">
        <is>
          <t>01</t>
        </is>
      </c>
      <c r="B5" s="19" t="inlineStr">
        <is>
          <t>MUR</t>
        </is>
      </c>
      <c r="C5" s="19" t="inlineStr">
        <is>
          <t>Original</t>
        </is>
      </c>
      <c r="D5" s="20" t="n">
        <v>46171</v>
      </c>
      <c r="E5" s="19" t="n"/>
      <c r="F5" s="19" t="n"/>
      <c r="G5" s="19" t="n"/>
      <c r="H5" s="19" t="n"/>
    </row>
    <row r="6" ht="15" customHeight="1" s="15">
      <c r="A6" s="19" t="inlineStr">
        <is>
          <t>02</t>
        </is>
      </c>
      <c r="B6" s="19" t="n"/>
      <c r="C6" s="19" t="n"/>
      <c r="D6" s="20" t="n">
        <v>46185</v>
      </c>
      <c r="E6" s="19" t="n"/>
      <c r="F6" s="19" t="n"/>
      <c r="G6" s="19" t="n"/>
      <c r="H6" s="19" t="n"/>
    </row>
    <row r="7" ht="15" customHeight="1" s="15">
      <c r="A7" s="19" t="inlineStr">
        <is>
          <t>03</t>
        </is>
      </c>
      <c r="B7" s="19" t="n"/>
      <c r="C7" s="19" t="n"/>
      <c r="D7" s="20" t="n">
        <v>46199</v>
      </c>
      <c r="E7" s="19" t="n"/>
      <c r="F7" s="19" t="n"/>
      <c r="G7" s="19" t="n"/>
      <c r="H7" s="19" t="n"/>
    </row>
    <row r="8" ht="15" customHeight="1" s="15">
      <c r="A8" s="19" t="inlineStr">
        <is>
          <t>04</t>
        </is>
      </c>
      <c r="B8" s="19" t="n"/>
      <c r="C8" s="19" t="n"/>
      <c r="D8" s="20" t="n">
        <v>46213</v>
      </c>
      <c r="E8" s="19" t="n"/>
      <c r="F8" s="19" t="n"/>
      <c r="G8" s="19" t="n"/>
      <c r="H8" s="19" t="n"/>
    </row>
    <row r="9" ht="15" customHeight="1" s="15">
      <c r="A9" s="19" t="inlineStr">
        <is>
          <t>05</t>
        </is>
      </c>
      <c r="B9" s="19" t="n"/>
      <c r="C9" s="19" t="n"/>
      <c r="D9" s="20" t="n">
        <v>46227</v>
      </c>
      <c r="E9" s="19" t="n"/>
      <c r="F9" s="19" t="n"/>
      <c r="G9" s="19" t="n"/>
      <c r="H9" s="19" t="n"/>
    </row>
    <row r="10" ht="15" customHeight="1" s="15">
      <c r="A10" s="19" t="inlineStr">
        <is>
          <t>06</t>
        </is>
      </c>
      <c r="B10" s="19" t="n"/>
      <c r="C10" s="19" t="n"/>
      <c r="D10" s="20" t="n">
        <v>46241</v>
      </c>
      <c r="E10" s="19" t="n"/>
      <c r="F10" s="19" t="n"/>
      <c r="G10" s="19" t="n"/>
      <c r="H10" s="19" t="n"/>
    </row>
    <row r="11" ht="15" customHeight="1" s="15">
      <c r="A11" s="19" t="inlineStr">
        <is>
          <t>07</t>
        </is>
      </c>
      <c r="B11" s="19" t="n"/>
      <c r="C11" s="19" t="n"/>
      <c r="D11" s="20" t="n">
        <v>46255</v>
      </c>
      <c r="E11" s="19" t="n"/>
      <c r="F11" s="19" t="n"/>
      <c r="G11" s="19" t="n"/>
      <c r="H11" s="19" t="n"/>
    </row>
    <row r="12" ht="15" customHeight="1" s="15">
      <c r="A12" s="19" t="inlineStr">
        <is>
          <t>08</t>
        </is>
      </c>
      <c r="B12" s="19" t="n"/>
      <c r="C12" s="19" t="n"/>
      <c r="D12" s="20" t="n">
        <v>46269</v>
      </c>
      <c r="E12" s="19" t="n"/>
      <c r="F12" s="19" t="n"/>
      <c r="G12" s="19" t="n"/>
      <c r="H12" s="19" t="n"/>
    </row>
    <row r="13" ht="15" customHeight="1" s="15">
      <c r="A13" s="19" t="inlineStr">
        <is>
          <t>09</t>
        </is>
      </c>
      <c r="B13" s="19" t="n"/>
      <c r="C13" s="19" t="n"/>
      <c r="D13" s="20" t="n">
        <v>46283</v>
      </c>
      <c r="E13" s="19" t="n"/>
      <c r="F13" s="19" t="n"/>
      <c r="G13" s="19" t="n"/>
      <c r="H13" s="19" t="n"/>
    </row>
    <row r="14" ht="15" customHeight="1" s="15">
      <c r="A14" s="19" t="inlineStr">
        <is>
          <t>10</t>
        </is>
      </c>
      <c r="B14" s="19" t="n"/>
      <c r="C14" s="19" t="n"/>
      <c r="D14" s="20" t="n">
        <v>46297</v>
      </c>
      <c r="E14" s="19" t="n"/>
      <c r="F14" s="19" t="n"/>
      <c r="G14" s="19" t="n"/>
      <c r="H14" s="19" t="n"/>
    </row>
    <row r="15" ht="15" customHeight="1" s="15">
      <c r="A15" s="19" t="inlineStr">
        <is>
          <t>11</t>
        </is>
      </c>
      <c r="B15" s="19" t="n"/>
      <c r="C15" s="19" t="n"/>
      <c r="D15" s="20" t="n">
        <v>46311</v>
      </c>
      <c r="E15" s="19" t="n"/>
      <c r="F15" s="19" t="n"/>
      <c r="G15" s="19" t="n"/>
      <c r="H15" s="19" t="n"/>
    </row>
    <row r="16" ht="15" customHeight="1" s="15">
      <c r="A16" s="19" t="inlineStr">
        <is>
          <t>12</t>
        </is>
      </c>
      <c r="B16" s="19" t="n"/>
      <c r="C16" s="19" t="n"/>
      <c r="D16" s="20" t="n">
        <v>46325</v>
      </c>
      <c r="E16" s="19" t="n"/>
      <c r="F16" s="19" t="n"/>
      <c r="G16" s="19" t="n"/>
      <c r="H16" s="19" t="n"/>
    </row>
    <row r="17" ht="15" customHeight="1" s="15">
      <c r="A17" s="19" t="inlineStr">
        <is>
          <t>13</t>
        </is>
      </c>
      <c r="B17" s="19" t="n"/>
      <c r="C17" s="19" t="n"/>
      <c r="D17" s="20" t="n">
        <v>46339</v>
      </c>
      <c r="E17" s="19" t="n"/>
      <c r="F17" s="19" t="n"/>
      <c r="G17" s="19" t="n"/>
      <c r="H17" s="19" t="n"/>
    </row>
    <row r="18" ht="15" customHeight="1" s="15">
      <c r="A18" s="19" t="inlineStr">
        <is>
          <t>14</t>
        </is>
      </c>
      <c r="B18" s="19" t="n"/>
      <c r="C18" s="19" t="n"/>
      <c r="D18" s="20" t="n">
        <v>46353</v>
      </c>
      <c r="E18" s="19" t="n"/>
      <c r="F18" s="19" t="n"/>
      <c r="G18" s="19" t="n"/>
      <c r="H18" s="19" t="n"/>
    </row>
    <row r="19" ht="15" customHeight="1" s="15">
      <c r="A19" s="19" t="inlineStr">
        <is>
          <t>15</t>
        </is>
      </c>
      <c r="B19" s="19" t="n"/>
      <c r="C19" s="19" t="n"/>
      <c r="D19" s="20" t="n">
        <v>46367</v>
      </c>
      <c r="E19" s="19" t="n"/>
      <c r="F19" s="19" t="n"/>
      <c r="G19" s="19" t="n"/>
      <c r="H19" s="19" t="n"/>
    </row>
    <row r="20" ht="15" customHeight="1" s="15">
      <c r="A20" s="19" t="inlineStr">
        <is>
          <t>16</t>
        </is>
      </c>
      <c r="B20" s="19" t="n"/>
      <c r="C20" s="19" t="n"/>
      <c r="D20" s="20" t="n">
        <v>46381</v>
      </c>
      <c r="E20" s="19" t="n"/>
      <c r="F20" s="19" t="n"/>
      <c r="G20" s="19" t="n"/>
      <c r="H20" s="1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2026-05-20T03:53:55Z</dcterms:created>
  <dcterms:modified xmlns:dcterms="http://purl.org/dc/terms/" xmlns:xsi="http://www.w3.org/2001/XMLSchema-instance" xsi:type="dcterms:W3CDTF">2026-05-20T03:54:28Z</dcterms:modified>
  <cp:revision>0</cp:revision>
</cp:coreProperties>
</file>