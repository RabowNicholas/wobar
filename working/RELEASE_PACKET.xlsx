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TEMPLATE" sheetId="2" state="visible" r:id="rId4"/>
    <sheet name="MUR" sheetId="3" state="visible" r:id="rId5"/>
    <sheet name="ARCHIVE INDEX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<sst xmlns="http://schemas.openxmlformats.org/spreadsheetml/2006/main" count="422" uniqueCount="152">
  <si>
    <t xml:space="preserve">WOBAR — 2026 RELEASE SCHEDULE</t>
  </si>
  <si>
    <t xml:space="preserve">Biweekly Fridays. 16 releases through year-end.</t>
  </si>
  <si>
    <t xml:space="preserve">#</t>
  </si>
  <si>
    <t xml:space="preserve">RELEASE DATE</t>
  </si>
  <si>
    <t xml:space="preserve">TRACK NAME</t>
  </si>
  <si>
    <t xml:space="preserve">STATUS</t>
  </si>
  <si>
    <t xml:space="preserve">NOTES</t>
  </si>
  <si>
    <t xml:space="preserve">01</t>
  </si>
  <si>
    <t xml:space="preserve">MUR</t>
  </si>
  <si>
    <t xml:space="preserve">scheduled</t>
  </si>
  <si>
    <t xml:space="preserve">02</t>
  </si>
  <si>
    <t xml:space="preserve">open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</si>
  <si>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</si>
  <si>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</si>
  <si>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</si>
  <si>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</si>
  <si>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</si>
  <si>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</si>
  <si>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</si>
  <si>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</si>
  <si>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</si>
  <si>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</si>
  <si>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</si>
  <si>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</si>
  <si>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</si>
  <si>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</si>
  <si>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WOBAR — RELEASE PACKET</t>
  </si>
  <si>
    <t xml:space="preserve">One release. Ship it. Archive it. Repeat.</t>
  </si>
  <si>
    <t xml:space="preserve">0  —  RELEASE IDENTITY</t>
  </si>
  <si>
    <t xml:space="preserve">Track name</t>
  </si>
  <si>
    <t xml:space="preserve">Release date</t>
  </si>
  <si>
    <t xml:space="preserve">5-Act placement</t>
  </si>
  <si>
    <t xml:space="preserve">Rift  /  Descension  /  Encounter  /  Release  /  Integration</t>
  </si>
  <si>
    <t xml:space="preserve">Budget</t>
  </si>
  <si>
    <t xml:space="preserve">Core sonic detail</t>
  </si>
  <si>
    <t xml:space="preserve">One sentence: what makes this track sound like Wobar?</t>
  </si>
  <si>
    <t xml:space="preserve">1  —  CONTENT  (5 visualizers + artwork + track = 7 required. BTS is trigger-based, see note.)</t>
  </si>
  <si>
    <t xml:space="preserve">Phase 2 = batch session once track is finished. All 7 must exist before T-21 distributor upload. 5 visualizers × 2 platforms = 10 posts across the 14-day release window.</t>
  </si>
  <si>
    <t xml:space="preserve">CONTENT PIECE</t>
  </si>
  <si>
    <t xml:space="preserve">TYPE</t>
  </si>
  <si>
    <t xml:space="preserve">PHASE</t>
  </si>
  <si>
    <t xml:space="preserve">COUNT</t>
  </si>
  <si>
    <t xml:space="preserve">PLATFORMS</t>
  </si>
  <si>
    <t xml:space="preserve">DONE</t>
  </si>
  <si>
    <t xml:space="preserve">Short clips 30–60s</t>
  </si>
  <si>
    <t xml:space="preserve">Video</t>
  </si>
  <si>
    <t xml:space="preserve">Phase 2</t>
  </si>
  <si>
    <t xml:space="preserve">TK + IG Reels</t>
  </si>
  <si>
    <t xml:space="preserve">☐</t>
  </si>
  <si>
    <t xml:space="preserve">Hook clip 15s</t>
  </si>
  <si>
    <t xml:space="preserve">Single artwork 3000×3000</t>
  </si>
  <si>
    <t xml:space="preserve">Visual</t>
  </si>
  <si>
    <t xml:space="preserve">All platforms</t>
  </si>
  <si>
    <t xml:space="preserve">Track upload</t>
  </si>
  <si>
    <t xml:space="preserve">Audio</t>
  </si>
  <si>
    <t xml:space="preserve">SC + Spotify</t>
  </si>
  <si>
    <t xml:space="preserve">TOTAL REQUIRED</t>
  </si>
  <si>
    <t xml:space="preserve">⚡ TRIGGER FOLLOW-UP — BTS  |  If any Mirror clip clears 1.5× your 10-post baseline at 48h, capture 1 BTS clip from the TD network (song playing, no voiceover) and post within 24–48h. Cap at 3 trigger posts per release. Source: WOBAR_CONTENT.md baseline monitoring.</t>
  </si>
  <si>
    <t xml:space="preserve">2  —  COPY PRODUCTION  (one sit, Phase 2)</t>
  </si>
  <si>
    <t xml:space="preserve">Five captions. Run Portal Test → Body Test → Earned Language Test on every piece.</t>
  </si>
  <si>
    <t xml:space="preserve">ASSET</t>
  </si>
  <si>
    <t xml:space="preserve">VOICE</t>
  </si>
  <si>
    <t xml:space="preserve">PLATFORM</t>
  </si>
  <si>
    <t xml:space="preserve">HINT</t>
  </si>
  <si>
    <t xml:space="preserve">COPY</t>
  </si>
  <si>
    <t xml:space="preserve">TikTok caption</t>
  </si>
  <si>
    <t xml:space="preserve">Magician</t>
  </si>
  <si>
    <t xml:space="preserve">TikTok</t>
  </si>
  <si>
    <t xml:space="preserve">Hook in 3 seconds. Cryptic. 1–2 lines + hashtags. Visual carries the weight.</t>
  </si>
  <si>
    <t xml:space="preserve">IG Reels caption</t>
  </si>
  <si>
    <t xml:space="preserve">IG Reels</t>
  </si>
  <si>
    <t xml:space="preserve">2–4 lines. Physical hook → journey hint → open invitation. Never explain the framework.</t>
  </si>
  <si>
    <t xml:space="preserve">Pre-save caption</t>
  </si>
  <si>
    <t xml:space="preserve">TK + IG</t>
  </si>
  <si>
    <t xml:space="preserve">Direct ask: save, follow, add to playlist. No hype. Short.</t>
  </si>
  <si>
    <t xml:space="preserve">Release day caption</t>
  </si>
  <si>
    <t xml:space="preserve">Drop moment energy. Link in bio. Short.</t>
  </si>
  <si>
    <t xml:space="preserve">SoundCloud description</t>
  </si>
  <si>
    <t xml:space="preserve">SoundCloud</t>
  </si>
  <si>
    <t xml:space="preserve">2–5 sentences. Technical OK. Act placement can be explicit.</t>
  </si>
  <si>
    <t xml:space="preserve">3  —  RELEASE EXECUTION  (Sections 1 + 2 complete first)</t>
  </si>
  <si>
    <t xml:space="preserve">Dates auto-calculated from B6 (Release Date). Compressed for biweekly cadence — windows overlap with adjacent releases.</t>
  </si>
  <si>
    <t xml:space="preserve">ACTION</t>
  </si>
  <si>
    <t xml:space="preserve">WHEN</t>
  </si>
  <si>
    <t xml:space="preserve">DATE</t>
  </si>
  <si>
    <t xml:space="preserve">BUDGET</t>
  </si>
  <si>
    <t xml:space="preserve">Distributor upload + set Friday release date</t>
  </si>
  <si>
    <t xml:space="preserve">T-21</t>
  </si>
  <si>
    <t xml:space="preserve">—</t>
  </si>
  <si>
    <t xml:space="preserve">Min 14 days before pre-save</t>
  </si>
  <si>
    <t xml:space="preserve">Spotify for Artists — editorial pitch</t>
  </si>
  <si>
    <t xml:space="preserve">Free</t>
  </si>
  <si>
    <t xml:space="preserve">Pre-save page (Hypeddit or alt)</t>
  </si>
  <si>
    <t xml:space="preserve">$10/mo</t>
  </si>
  <si>
    <t xml:space="preserve">First teaser post + pre-save link</t>
  </si>
  <si>
    <t xml:space="preserve">T-14</t>
  </si>
  <si>
    <t xml:space="preserve">Use one of the short clips</t>
  </si>
  <si>
    <t xml:space="preserve">Tier 1 curator DMs (Instagram)</t>
  </si>
  <si>
    <t xml:space="preserve">T-7</t>
  </si>
  <si>
    <t xml:space="preserve">Only proven contacts</t>
  </si>
  <si>
    <t xml:space="preserve">SubmitHub (optional, not every release)</t>
  </si>
  <si>
    <t xml:space="preserve">$40-60</t>
  </si>
  <si>
    <t xml:space="preserve">Push releases only</t>
  </si>
  <si>
    <t xml:space="preserve">Pre-save push + hook clip post</t>
  </si>
  <si>
    <t xml:space="preserve">Release day — post all platforms</t>
  </si>
  <si>
    <t xml:space="preserve">Day 0</t>
  </si>
  <si>
    <t xml:space="preserve">TK + IG + SC simultaneous</t>
  </si>
  <si>
    <t xml:space="preserve">Add to Conduit Radio playlist</t>
  </si>
  <si>
    <t xml:space="preserve">Network ask — save + follow + playlist</t>
  </si>
  <si>
    <t xml:space="preserve">Repost top clip with new caption</t>
  </si>
  <si>
    <t xml:space="preserve">T+7</t>
  </si>
  <si>
    <t xml:space="preserve">Section 4 review</t>
  </si>
  <si>
    <t xml:space="preserve">Spotify Marquee — TRIGGER ONLY if save rate &gt;20%</t>
  </si>
  <si>
    <t xml:space="preserve">$100+</t>
  </si>
  <si>
    <t xml:space="preserve">Conditional, not default</t>
  </si>
  <si>
    <t xml:space="preserve">4  —  REVIEW  (complete at T+7)</t>
  </si>
  <si>
    <t xml:space="preserve">METRIC</t>
  </si>
  <si>
    <t xml:space="preserve">TARGET</t>
  </si>
  <si>
    <t xml:space="preserve">ACTUAL</t>
  </si>
  <si>
    <t xml:space="preserve">SIGNAL</t>
  </si>
  <si>
    <t xml:space="preserve">Save rate</t>
  </si>
  <si>
    <t xml:space="preserve">15%+</t>
  </si>
  <si>
    <t xml:space="preserve">Below 8% = intro problem. Above 20% = push with Marquee.</t>
  </si>
  <si>
    <t xml:space="preserve">Streams — 30 days</t>
  </si>
  <si>
    <t xml:space="preserve">1,000+</t>
  </si>
  <si>
    <t xml:space="preserve">First meaningful algorithmic threshold.</t>
  </si>
  <si>
    <t xml:space="preserve">Skip rate</t>
  </si>
  <si>
    <t xml:space="preserve">Below 25%</t>
  </si>
  <si>
    <t xml:space="preserve">High skips = hook problem. Fix on next release.</t>
  </si>
  <si>
    <t xml:space="preserve">Top traffic source</t>
  </si>
  <si>
    <t xml:space="preserve">Algorithmic</t>
  </si>
  <si>
    <t xml:space="preserve">Algorithmic sources = momentum building.</t>
  </si>
  <si>
    <t xml:space="preserve">Best content format</t>
  </si>
  <si>
    <t xml:space="preserve">Which clip drove the most saves? Replicate it.</t>
  </si>
  <si>
    <t xml:space="preserve">BTS triggered?</t>
  </si>
  <si>
    <t xml:space="preserve">Y/N</t>
  </si>
  <si>
    <t xml:space="preserve">Did any Mirror clip clear 1.5× baseline?</t>
  </si>
  <si>
    <t xml:space="preserve">KEY LEARNING — one thing to carry forward</t>
  </si>
  <si>
    <t xml:space="preserve">5  —  CURATOR LOG  (fill as you submit, not as a checklist)</t>
  </si>
  <si>
    <t xml:space="preserve">CURATOR / PLAYLIST</t>
  </si>
  <si>
    <t xml:space="preserve">SUBMITTED</t>
  </si>
  <si>
    <t xml:space="preserve">RESULT</t>
  </si>
  <si>
    <t xml:space="preserve">FOLLOW UP?</t>
  </si>
  <si>
    <t xml:space="preserve">Encounter / Release threshold</t>
  </si>
  <si>
    <t xml:space="preserve">Heavy and hypnotic. Where the uncomfortableness starts to relax and you start to feel the need to move and release.</t>
  </si>
  <si>
    <t xml:space="preserve">WOBAR — RELEASE ARCHIVE</t>
  </si>
  <si>
    <t xml:space="preserve">Duplicate the TEMPLATE tab for each new release. Log it here after T+7 review.</t>
  </si>
  <si>
    <t xml:space="preserve">STREAMS 30d</t>
  </si>
  <si>
    <t xml:space="preserve">SAVE RATE</t>
  </si>
  <si>
    <t xml:space="preserve">BUDGET SPENT</t>
  </si>
  <si>
    <t xml:space="preserve">BTS TRIGGERED</t>
  </si>
  <si>
    <t xml:space="preserve">KEY LEARNING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</si>
</sst>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A"/>
      <name val="Arial"/>
      <family val="0"/>
      <charset val="1"/>
    </font>
    <font>
      <i val="true"/>
      <sz val="10"/>
      <color rgb="FF60606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1A1A1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5DAF2"/>
        <bgColor rgb="FFF2F2F2"/>
      </patternFill>
    </fill>
    <fill>
      <patternFill patternType="solid">
        <fgColor rgb="FF5B3A8C"/>
        <bgColor rgb="FF606060"/>
      </patternFill>
    </fill>
    <fill>
      <patternFill patternType="solid">
        <fgColor rgb="FFF2F2F2"/>
        <bgColor rgb="FFFFF4D6"/>
      </patternFill>
    </fill>
    <fill>
      <patternFill patternType="solid">
        <fgColor rgb="FFFFF4D6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F2F2F2"/>
      <rgbColor rgb="FF660066"/>
      <rgbColor rgb="FFFF8080"/>
      <rgbColor rgb="FF0066CC"/>
      <rgbColor rgb="FFE5DA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969696"/>
      <rgbColor rgb="FF003366"/>
      <rgbColor rgb="FF339966"/>
      <rgbColor rgb="FF003300"/>
      <rgbColor rgb="FF333300"/>
      <rgbColor rgb="FF993300"/>
      <rgbColor rgb="FF993366"/>
      <rgbColor rgb="FF5B3A8C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v>46171</v>
      </c>
      <c r="C5" s="4" t="s">
        <v>8</v>
      </c>
      <c r="D5" s="4" t="s">
        <v>9</v>
      </c>
      <c r="E5" s="4"/>
    </row>
    <row r="6" customFormat="false" ht="15" hidden="false" customHeight="false" outlineLevel="0" collapsed="false">
      <c r="A6" s="4" t="s">
        <v>10</v>
      </c>
      <c r="B6" s="5" t="n">
        <v>46185</v>
      </c>
      <c r="C6" s="4"/>
      <c r="D6" s="4" t="s">
        <v>11</v>
      </c>
      <c r="E6" s="4"/>
    </row>
    <row r="7" customFormat="false" ht="15" hidden="false" customHeight="false" outlineLevel="0" collapsed="false">
      <c r="A7" s="4" t="s">
        <v>12</v>
      </c>
      <c r="B7" s="5" t="n">
        <v>46199</v>
      </c>
      <c r="C7" s="4"/>
      <c r="D7" s="4" t="s">
        <v>11</v>
      </c>
      <c r="E7" s="4"/>
    </row>
    <row r="8" customFormat="false" ht="15" hidden="false" customHeight="false" outlineLevel="0" collapsed="false">
      <c r="A8" s="4" t="s">
        <v>13</v>
      </c>
      <c r="B8" s="5" t="n">
        <v>46213</v>
      </c>
      <c r="C8" s="4"/>
      <c r="D8" s="4" t="s">
        <v>11</v>
      </c>
      <c r="E8" s="4"/>
    </row>
    <row r="9" customFormat="false" ht="15" hidden="false" customHeight="false" outlineLevel="0" collapsed="false">
      <c r="A9" s="4" t="s">
        <v>14</v>
      </c>
      <c r="B9" s="5" t="n">
        <v>46227</v>
      </c>
      <c r="C9" s="4"/>
      <c r="D9" s="4" t="s">
        <v>11</v>
      </c>
      <c r="E9" s="4"/>
    </row>
    <row r="10" customFormat="false" ht="15" hidden="false" customHeight="false" outlineLevel="0" collapsed="false">
      <c r="A10" s="4" t="s">
        <v>15</v>
      </c>
      <c r="B10" s="5" t="n">
        <v>46241</v>
      </c>
      <c r="C10" s="4"/>
      <c r="D10" s="4" t="s">
        <v>11</v>
      </c>
      <c r="E10" s="4"/>
    </row>
    <row r="11" customFormat="false" ht="15" hidden="false" customHeight="false" outlineLevel="0" collapsed="false">
      <c r="A11" s="4" t="s">
        <v>16</v>
      </c>
      <c r="B11" s="5" t="n">
        <v>46255</v>
      </c>
      <c r="C11" s="4"/>
      <c r="D11" s="4" t="s">
        <v>11</v>
      </c>
      <c r="E11" s="4"/>
    </row>
    <row r="12" customFormat="false" ht="15" hidden="false" customHeight="false" outlineLevel="0" collapsed="false">
      <c r="A12" s="4" t="s">
        <v>17</v>
      </c>
      <c r="B12" s="5" t="n">
        <v>46269</v>
      </c>
      <c r="C12" s="4"/>
      <c r="D12" s="4" t="s">
        <v>11</v>
      </c>
      <c r="E12" s="4"/>
    </row>
    <row r="13" customFormat="false" ht="15" hidden="false" customHeight="false" outlineLevel="0" collapsed="false">
      <c r="A13" s="4" t="s">
        <v>18</v>
      </c>
      <c r="B13" s="5" t="n">
        <v>46283</v>
      </c>
      <c r="C13" s="4"/>
      <c r="D13" s="4" t="s">
        <v>11</v>
      </c>
      <c r="E13" s="4"/>
    </row>
    <row r="14" customFormat="false" ht="15" hidden="false" customHeight="false" outlineLevel="0" collapsed="false">
      <c r="A14" s="4" t="s">
        <v>19</v>
      </c>
      <c r="B14" s="5" t="n">
        <v>46297</v>
      </c>
      <c r="C14" s="4"/>
      <c r="D14" s="4" t="s">
        <v>11</v>
      </c>
      <c r="E14" s="4"/>
    </row>
    <row r="15" customFormat="false" ht="15" hidden="false" customHeight="false" outlineLevel="0" collapsed="false">
      <c r="A15" s="4" t="s">
        <v>20</v>
      </c>
      <c r="B15" s="5" t="n">
        <v>46311</v>
      </c>
      <c r="C15" s="4"/>
      <c r="D15" s="4" t="s">
        <v>11</v>
      </c>
      <c r="E15" s="4"/>
    </row>
    <row r="16" customFormat="false" ht="15" hidden="false" customHeight="false" outlineLevel="0" collapsed="false">
      <c r="A16" s="4" t="s">
        <v>21</v>
      </c>
      <c r="B16" s="5" t="n">
        <v>46325</v>
      </c>
      <c r="C16" s="4"/>
      <c r="D16" s="4" t="s">
        <v>11</v>
      </c>
      <c r="E16" s="4"/>
    </row>
    <row r="17" customFormat="false" ht="15" hidden="false" customHeight="false" outlineLevel="0" collapsed="false">
      <c r="A17" s="4" t="s">
        <v>22</v>
      </c>
      <c r="B17" s="5" t="n">
        <v>46339</v>
      </c>
      <c r="C17" s="4"/>
      <c r="D17" s="4" t="s">
        <v>11</v>
      </c>
      <c r="E17" s="4"/>
    </row>
    <row r="18" customFormat="false" ht="15" hidden="false" customHeight="false" outlineLevel="0" collapsed="false">
      <c r="A18" s="4" t="s">
        <v>23</v>
      </c>
      <c r="B18" s="5" t="n">
        <v>46353</v>
      </c>
      <c r="C18" s="4"/>
      <c r="D18" s="4" t="s">
        <v>11</v>
      </c>
      <c r="E18" s="4"/>
    </row>
    <row r="19" customFormat="false" ht="15" hidden="false" customHeight="false" outlineLevel="0" collapsed="false">
      <c r="A19" s="4" t="s">
        <v>24</v>
      </c>
      <c r="B19" s="5" t="n">
        <v>46367</v>
      </c>
      <c r="C19" s="4"/>
      <c r="D19" s="4" t="s">
        <v>11</v>
      </c>
      <c r="E19" s="4"/>
    </row>
    <row r="20" customFormat="false" ht="15" hidden="false" customHeight="false" outlineLevel="0" collapsed="false">
      <c r="A20" s="4" t="s">
        <v>25</v>
      </c>
      <c r="B20" s="5" t="n">
        <v>46381</v>
      </c>
      <c r="C20" s="4"/>
      <c r="D20" s="4" t="s">
        <v>11</v>
      </c>
      <c r="E2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6" t="s">
        <v>28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7" t="s">
        <v>29</v>
      </c>
      <c r="B5" s="4"/>
    </row>
    <row r="6" customFormat="false" ht="15" hidden="false" customHeight="false" outlineLevel="0" collapsed="false">
      <c r="A6" s="7" t="s">
        <v>30</v>
      </c>
      <c r="B6" s="4"/>
    </row>
    <row r="7" customFormat="false" ht="57.45" hidden="false" customHeight="false" outlineLevel="0" collapsed="false">
      <c r="A7" s="7" t="s">
        <v>31</v>
      </c>
      <c r="B7" s="4" t="s">
        <v>32</v>
      </c>
    </row>
    <row r="8" customFormat="false" ht="15" hidden="false" customHeight="false" outlineLevel="0" collapsed="false">
      <c r="A8" s="7" t="s">
        <v>33</v>
      </c>
      <c r="B8" s="4"/>
    </row>
    <row r="9" customFormat="false" ht="31.5" hidden="false" customHeight="true" outlineLevel="0" collapsed="false">
      <c r="A9" s="7" t="s">
        <v>34</v>
      </c>
      <c r="B9" s="8" t="s">
        <v>35</v>
      </c>
      <c r="C9" s="8"/>
      <c r="D9" s="8"/>
      <c r="E9" s="8"/>
      <c r="F9" s="8"/>
    </row>
    <row r="11" customFormat="false" ht="15" hidden="false" customHeight="false" outlineLevel="0" collapsed="false">
      <c r="A11" s="6" t="s">
        <v>36</v>
      </c>
      <c r="B11" s="6"/>
      <c r="C11" s="6"/>
      <c r="D11" s="6"/>
      <c r="E11" s="6"/>
      <c r="F11" s="6"/>
    </row>
    <row r="12" customFormat="false" ht="15" hidden="false" customHeight="false" outlineLevel="0" collapsed="false">
      <c r="A12" s="9" t="s">
        <v>37</v>
      </c>
      <c r="B12" s="9"/>
      <c r="C12" s="9"/>
      <c r="D12" s="9"/>
      <c r="E12" s="9"/>
      <c r="F12" s="9"/>
    </row>
    <row r="13" customFormat="false" ht="15" hidden="false" customHeight="false" outlineLevel="0" collapsed="false">
      <c r="A13" s="3" t="s">
        <v>38</v>
      </c>
      <c r="B13" s="3" t="s">
        <v>39</v>
      </c>
      <c r="C13" s="3" t="s">
        <v>40</v>
      </c>
      <c r="D13" s="3" t="s">
        <v>41</v>
      </c>
      <c r="E13" s="3" t="s">
        <v>42</v>
      </c>
      <c r="F13" s="3" t="s">
        <v>43</v>
      </c>
    </row>
    <row r="14" customFormat="false" ht="15" hidden="false" customHeight="false" outlineLevel="0" collapsed="false">
      <c r="A14" s="4" t="s">
        <v>44</v>
      </c>
      <c r="B14" s="4" t="s">
        <v>45</v>
      </c>
      <c r="C14" s="4" t="s">
        <v>46</v>
      </c>
      <c r="D14" s="4" t="n">
        <v>4</v>
      </c>
      <c r="E14" s="4" t="s">
        <v>47</v>
      </c>
      <c r="F14" s="4" t="s">
        <v>48</v>
      </c>
    </row>
    <row r="15" customFormat="false" ht="15" hidden="false" customHeight="false" outlineLevel="0" collapsed="false">
      <c r="A15" s="4" t="s">
        <v>49</v>
      </c>
      <c r="B15" s="4" t="s">
        <v>45</v>
      </c>
      <c r="C15" s="4" t="s">
        <v>46</v>
      </c>
      <c r="D15" s="4" t="n">
        <v>1</v>
      </c>
      <c r="E15" s="4" t="s">
        <v>47</v>
      </c>
      <c r="F15" s="4" t="s">
        <v>48</v>
      </c>
    </row>
    <row r="16" customFormat="false" ht="15" hidden="false" customHeight="false" outlineLevel="0" collapsed="false">
      <c r="A16" s="4" t="s">
        <v>50</v>
      </c>
      <c r="B16" s="4" t="s">
        <v>51</v>
      </c>
      <c r="C16" s="4" t="s">
        <v>46</v>
      </c>
      <c r="D16" s="4" t="n">
        <v>1</v>
      </c>
      <c r="E16" s="4" t="s">
        <v>52</v>
      </c>
      <c r="F16" s="4" t="s">
        <v>48</v>
      </c>
    </row>
    <row r="17" customFormat="false" ht="15" hidden="false" customHeight="false" outlineLevel="0" collapsed="false">
      <c r="A17" s="4" t="s">
        <v>53</v>
      </c>
      <c r="B17" s="4" t="s">
        <v>54</v>
      </c>
      <c r="C17" s="4" t="s">
        <v>46</v>
      </c>
      <c r="D17" s="4" t="n">
        <v>1</v>
      </c>
      <c r="E17" s="4" t="s">
        <v>55</v>
      </c>
      <c r="F17" s="4" t="s">
        <v>48</v>
      </c>
    </row>
    <row r="18" customFormat="false" ht="15" hidden="false" customHeight="false" outlineLevel="0" collapsed="false">
      <c r="A18" s="10" t="s">
        <v>56</v>
      </c>
      <c r="B18" s="10"/>
      <c r="C18" s="10"/>
      <c r="D18" s="10" t="n">
        <v>7</v>
      </c>
      <c r="E18" s="10"/>
      <c r="F18" s="10"/>
    </row>
    <row r="20" customFormat="false" ht="49.5" hidden="false" customHeight="true" outlineLevel="0" collapsed="false">
      <c r="A20" s="11" t="s">
        <v>57</v>
      </c>
      <c r="B20" s="11"/>
      <c r="C20" s="11"/>
      <c r="D20" s="11"/>
      <c r="E20" s="11"/>
      <c r="F20" s="11"/>
    </row>
    <row r="22" customFormat="false" ht="15" hidden="false" customHeight="false" outlineLevel="0" collapsed="false">
      <c r="A22" s="6" t="s">
        <v>58</v>
      </c>
      <c r="B22" s="6"/>
      <c r="C22" s="6"/>
      <c r="D22" s="6"/>
      <c r="E22" s="6"/>
      <c r="F22" s="6"/>
    </row>
    <row r="23" customFormat="false" ht="15" hidden="false" customHeight="false" outlineLevel="0" collapsed="false">
      <c r="A23" s="9" t="s">
        <v>59</v>
      </c>
      <c r="B23" s="9"/>
      <c r="C23" s="9"/>
      <c r="D23" s="9"/>
      <c r="E23" s="9"/>
      <c r="F23" s="9"/>
    </row>
    <row r="24" customFormat="false" ht="15" hidden="false" customHeight="false" outlineLevel="0" collapsed="false">
      <c r="A24" s="3" t="s">
        <v>60</v>
      </c>
      <c r="B24" s="3" t="s">
        <v>61</v>
      </c>
      <c r="C24" s="3" t="s">
        <v>62</v>
      </c>
      <c r="D24" s="3" t="s">
        <v>63</v>
      </c>
      <c r="E24" s="3" t="s">
        <v>64</v>
      </c>
      <c r="F24" s="3" t="s">
        <v>43</v>
      </c>
    </row>
    <row r="25" customFormat="false" ht="79.85" hidden="false" customHeight="false" outlineLevel="0" collapsed="false">
      <c r="A25" s="4" t="s">
        <v>65</v>
      </c>
      <c r="B25" s="4" t="s">
        <v>66</v>
      </c>
      <c r="C25" s="4" t="s">
        <v>67</v>
      </c>
      <c r="D25" s="4" t="s">
        <v>68</v>
      </c>
      <c r="E25" s="4"/>
      <c r="F25" s="4" t="s">
        <v>48</v>
      </c>
    </row>
    <row r="26" customFormat="false" ht="91" hidden="false" customHeight="false" outlineLevel="0" collapsed="false">
      <c r="A26" s="4" t="s">
        <v>69</v>
      </c>
      <c r="B26" s="4" t="s">
        <v>66</v>
      </c>
      <c r="C26" s="4" t="s">
        <v>70</v>
      </c>
      <c r="D26" s="4" t="s">
        <v>71</v>
      </c>
      <c r="E26" s="4"/>
      <c r="F26" s="4" t="s">
        <v>48</v>
      </c>
    </row>
    <row r="27" customFormat="false" ht="57.45" hidden="false" customHeight="false" outlineLevel="0" collapsed="false">
      <c r="A27" s="4" t="s">
        <v>72</v>
      </c>
      <c r="B27" s="4" t="s">
        <v>66</v>
      </c>
      <c r="C27" s="4" t="s">
        <v>73</v>
      </c>
      <c r="D27" s="4" t="s">
        <v>74</v>
      </c>
      <c r="E27" s="4"/>
      <c r="F27" s="4" t="s">
        <v>48</v>
      </c>
    </row>
    <row r="28" customFormat="false" ht="35.05" hidden="false" customHeight="false" outlineLevel="0" collapsed="false">
      <c r="A28" s="4" t="s">
        <v>75</v>
      </c>
      <c r="B28" s="4" t="s">
        <v>66</v>
      </c>
      <c r="C28" s="4" t="s">
        <v>73</v>
      </c>
      <c r="D28" s="4" t="s">
        <v>76</v>
      </c>
      <c r="E28" s="4"/>
      <c r="F28" s="4" t="s">
        <v>48</v>
      </c>
    </row>
    <row r="29" customFormat="false" ht="68.65" hidden="false" customHeight="false" outlineLevel="0" collapsed="false">
      <c r="A29" s="4" t="s">
        <v>77</v>
      </c>
      <c r="B29" s="4" t="s">
        <v>66</v>
      </c>
      <c r="C29" s="4" t="s">
        <v>78</v>
      </c>
      <c r="D29" s="4" t="s">
        <v>79</v>
      </c>
      <c r="E29" s="4"/>
      <c r="F29" s="4" t="s">
        <v>48</v>
      </c>
    </row>
    <row r="32" customFormat="false" ht="15" hidden="false" customHeight="false" outlineLevel="0" collapsed="false">
      <c r="A32" s="6" t="s">
        <v>80</v>
      </c>
      <c r="B32" s="6"/>
      <c r="C32" s="6"/>
      <c r="D32" s="6"/>
      <c r="E32" s="6"/>
      <c r="F32" s="6"/>
    </row>
    <row r="33" customFormat="false" ht="15" hidden="false" customHeight="false" outlineLevel="0" collapsed="false">
      <c r="A33" s="9" t="s">
        <v>81</v>
      </c>
      <c r="B33" s="9"/>
      <c r="C33" s="9"/>
      <c r="D33" s="9"/>
      <c r="E33" s="9"/>
      <c r="F33" s="9"/>
    </row>
    <row r="34" customFormat="false" ht="15" hidden="false" customHeight="false" outlineLevel="0" collapsed="false">
      <c r="A34" s="3" t="s">
        <v>82</v>
      </c>
      <c r="B34" s="3" t="s">
        <v>83</v>
      </c>
      <c r="C34" s="3" t="s">
        <v>84</v>
      </c>
      <c r="D34" s="3" t="s">
        <v>85</v>
      </c>
      <c r="E34" s="3" t="s">
        <v>6</v>
      </c>
      <c r="F34" s="3" t="s">
        <v>43</v>
      </c>
    </row>
    <row r="35" customFormat="false" ht="15" hidden="false" customHeight="false" outlineLevel="0" collapsed="false">
      <c r="A35" s="4" t="s">
        <v>86</v>
      </c>
      <c r="B35" s="4" t="s">
        <v>87</v>
      </c>
      <c r="C35" s="5" t="n">
        <f aca="false">$B$6-21</f>
        <v>-21</v>
      </c>
      <c r="D35" s="4" t="s">
        <v>88</v>
      </c>
      <c r="E35" s="4" t="s">
        <v>89</v>
      </c>
      <c r="F35" s="4" t="s">
        <v>48</v>
      </c>
    </row>
    <row r="36" customFormat="false" ht="15" hidden="false" customHeight="false" outlineLevel="0" collapsed="false">
      <c r="A36" s="4" t="s">
        <v>90</v>
      </c>
      <c r="B36" s="4" t="s">
        <v>87</v>
      </c>
      <c r="C36" s="5" t="n">
        <f aca="false">$B$6-21</f>
        <v>-21</v>
      </c>
      <c r="D36" s="4" t="s">
        <v>91</v>
      </c>
      <c r="E36" s="4"/>
      <c r="F36" s="4" t="s">
        <v>48</v>
      </c>
    </row>
    <row r="37" customFormat="false" ht="15" hidden="false" customHeight="false" outlineLevel="0" collapsed="false">
      <c r="A37" s="4" t="s">
        <v>92</v>
      </c>
      <c r="B37" s="4" t="s">
        <v>87</v>
      </c>
      <c r="C37" s="5" t="n">
        <f aca="false">$B$6-21</f>
        <v>-21</v>
      </c>
      <c r="D37" s="4" t="s">
        <v>93</v>
      </c>
      <c r="E37" s="4"/>
      <c r="F37" s="4" t="s">
        <v>48</v>
      </c>
    </row>
    <row r="38" customFormat="false" ht="15" hidden="false" customHeight="false" outlineLevel="0" collapsed="false">
      <c r="A38" s="4" t="s">
        <v>94</v>
      </c>
      <c r="B38" s="4" t="s">
        <v>95</v>
      </c>
      <c r="C38" s="5" t="n">
        <f aca="false">$B$6-14</f>
        <v>-14</v>
      </c>
      <c r="D38" s="4" t="s">
        <v>88</v>
      </c>
      <c r="E38" s="4" t="s">
        <v>96</v>
      </c>
      <c r="F38" s="4" t="s">
        <v>48</v>
      </c>
    </row>
    <row r="39" customFormat="false" ht="15" hidden="false" customHeight="false" outlineLevel="0" collapsed="false">
      <c r="A39" s="4" t="s">
        <v>97</v>
      </c>
      <c r="B39" s="4" t="s">
        <v>98</v>
      </c>
      <c r="C39" s="5" t="n">
        <f aca="false">$B$6-7</f>
        <v>-7</v>
      </c>
      <c r="D39" s="4" t="s">
        <v>91</v>
      </c>
      <c r="E39" s="4" t="s">
        <v>99</v>
      </c>
      <c r="F39" s="4" t="s">
        <v>48</v>
      </c>
    </row>
    <row r="40" customFormat="false" ht="15" hidden="false" customHeight="false" outlineLevel="0" collapsed="false">
      <c r="A40" s="4" t="s">
        <v>100</v>
      </c>
      <c r="B40" s="4" t="s">
        <v>98</v>
      </c>
      <c r="C40" s="5" t="n">
        <f aca="false">$B$6-7</f>
        <v>-7</v>
      </c>
      <c r="D40" s="4" t="s">
        <v>101</v>
      </c>
      <c r="E40" s="4" t="s">
        <v>102</v>
      </c>
      <c r="F40" s="4" t="s">
        <v>48</v>
      </c>
    </row>
    <row r="41" customFormat="false" ht="15" hidden="false" customHeight="false" outlineLevel="0" collapsed="false">
      <c r="A41" s="4" t="s">
        <v>103</v>
      </c>
      <c r="B41" s="4" t="s">
        <v>98</v>
      </c>
      <c r="C41" s="5" t="n">
        <f aca="false">$B$6-7</f>
        <v>-7</v>
      </c>
      <c r="D41" s="4" t="s">
        <v>88</v>
      </c>
      <c r="E41" s="4"/>
      <c r="F41" s="4" t="s">
        <v>48</v>
      </c>
    </row>
    <row r="42" customFormat="false" ht="15" hidden="false" customHeight="false" outlineLevel="0" collapsed="false">
      <c r="A42" s="4" t="s">
        <v>104</v>
      </c>
      <c r="B42" s="4" t="s">
        <v>105</v>
      </c>
      <c r="C42" s="5" t="n">
        <f aca="false">$B$6</f>
        <v>0</v>
      </c>
      <c r="D42" s="4" t="s">
        <v>88</v>
      </c>
      <c r="E42" s="4" t="s">
        <v>106</v>
      </c>
      <c r="F42" s="4" t="s">
        <v>48</v>
      </c>
    </row>
    <row r="43" customFormat="false" ht="15" hidden="false" customHeight="false" outlineLevel="0" collapsed="false">
      <c r="A43" s="4" t="s">
        <v>107</v>
      </c>
      <c r="B43" s="4" t="s">
        <v>105</v>
      </c>
      <c r="C43" s="5" t="n">
        <f aca="false">$B$6</f>
        <v>0</v>
      </c>
      <c r="D43" s="4" t="s">
        <v>88</v>
      </c>
      <c r="E43" s="4"/>
      <c r="F43" s="4" t="s">
        <v>48</v>
      </c>
    </row>
    <row r="44" customFormat="false" ht="15" hidden="false" customHeight="false" outlineLevel="0" collapsed="false">
      <c r="A44" s="4" t="s">
        <v>108</v>
      </c>
      <c r="B44" s="4" t="s">
        <v>105</v>
      </c>
      <c r="C44" s="5" t="n">
        <f aca="false">$B$6</f>
        <v>0</v>
      </c>
      <c r="D44" s="4" t="s">
        <v>88</v>
      </c>
      <c r="E44" s="4"/>
      <c r="F44" s="4" t="s">
        <v>48</v>
      </c>
    </row>
    <row r="45" customFormat="false" ht="15" hidden="false" customHeight="false" outlineLevel="0" collapsed="false">
      <c r="A45" s="4" t="s">
        <v>109</v>
      </c>
      <c r="B45" s="4" t="s">
        <v>110</v>
      </c>
      <c r="C45" s="5" t="n">
        <f aca="false">$B$6+7</f>
        <v>7</v>
      </c>
      <c r="D45" s="4" t="s">
        <v>88</v>
      </c>
      <c r="E45" s="4"/>
      <c r="F45" s="4" t="s">
        <v>48</v>
      </c>
    </row>
    <row r="46" customFormat="false" ht="15" hidden="false" customHeight="false" outlineLevel="0" collapsed="false">
      <c r="A46" s="4" t="s">
        <v>111</v>
      </c>
      <c r="B46" s="4" t="s">
        <v>110</v>
      </c>
      <c r="C46" s="5" t="n">
        <f aca="false">$B$6+7</f>
        <v>7</v>
      </c>
      <c r="D46" s="4" t="s">
        <v>88</v>
      </c>
      <c r="E46" s="4"/>
      <c r="F46" s="4" t="s">
        <v>48</v>
      </c>
    </row>
    <row r="47" customFormat="false" ht="23.85" hidden="false" customHeight="false" outlineLevel="0" collapsed="false">
      <c r="A47" s="4" t="s">
        <v>112</v>
      </c>
      <c r="B47" s="4" t="s">
        <v>110</v>
      </c>
      <c r="C47" s="5" t="n">
        <f aca="false">$B$6+7</f>
        <v>7</v>
      </c>
      <c r="D47" s="4" t="s">
        <v>113</v>
      </c>
      <c r="E47" s="4" t="s">
        <v>114</v>
      </c>
      <c r="F47" s="4" t="s">
        <v>48</v>
      </c>
    </row>
    <row r="50" customFormat="false" ht="15" hidden="false" customHeight="false" outlineLevel="0" collapsed="false">
      <c r="A50" s="6" t="s">
        <v>115</v>
      </c>
      <c r="B50" s="6"/>
      <c r="C50" s="6"/>
      <c r="D50" s="6"/>
      <c r="E50" s="6"/>
      <c r="F50" s="6"/>
    </row>
    <row r="51" customFormat="false" ht="15" hidden="false" customHeight="false" outlineLevel="0" collapsed="false">
      <c r="A51" s="3" t="s">
        <v>116</v>
      </c>
      <c r="B51" s="3" t="s">
        <v>117</v>
      </c>
      <c r="C51" s="3" t="s">
        <v>118</v>
      </c>
      <c r="D51" s="3" t="s">
        <v>119</v>
      </c>
    </row>
    <row r="52" customFormat="false" ht="57.45" hidden="false" customHeight="false" outlineLevel="0" collapsed="false">
      <c r="A52" s="4" t="s">
        <v>120</v>
      </c>
      <c r="B52" s="4" t="s">
        <v>121</v>
      </c>
      <c r="C52" s="4"/>
      <c r="D52" s="4" t="s">
        <v>122</v>
      </c>
    </row>
    <row r="53" customFormat="false" ht="46.25" hidden="false" customHeight="false" outlineLevel="0" collapsed="false">
      <c r="A53" s="4" t="s">
        <v>123</v>
      </c>
      <c r="B53" s="4" t="s">
        <v>124</v>
      </c>
      <c r="C53" s="4"/>
      <c r="D53" s="4" t="s">
        <v>125</v>
      </c>
    </row>
    <row r="54" customFormat="false" ht="46.25" hidden="false" customHeight="false" outlineLevel="0" collapsed="false">
      <c r="A54" s="4" t="s">
        <v>126</v>
      </c>
      <c r="B54" s="4" t="s">
        <v>127</v>
      </c>
      <c r="C54" s="4"/>
      <c r="D54" s="4" t="s">
        <v>128</v>
      </c>
    </row>
    <row r="55" customFormat="false" ht="46.25" hidden="false" customHeight="false" outlineLevel="0" collapsed="false">
      <c r="A55" s="4" t="s">
        <v>129</v>
      </c>
      <c r="B55" s="4" t="s">
        <v>130</v>
      </c>
      <c r="C55" s="4"/>
      <c r="D55" s="4" t="s">
        <v>131</v>
      </c>
    </row>
    <row r="56" customFormat="false" ht="46.25" hidden="false" customHeight="false" outlineLevel="0" collapsed="false">
      <c r="A56" s="4" t="s">
        <v>132</v>
      </c>
      <c r="B56" s="4"/>
      <c r="C56" s="4"/>
      <c r="D56" s="4" t="s">
        <v>133</v>
      </c>
    </row>
    <row r="57" customFormat="false" ht="35.05" hidden="false" customHeight="false" outlineLevel="0" collapsed="false">
      <c r="A57" s="4" t="s">
        <v>134</v>
      </c>
      <c r="B57" s="4" t="s">
        <v>135</v>
      </c>
      <c r="C57" s="4"/>
      <c r="D57" s="4" t="s">
        <v>136</v>
      </c>
    </row>
    <row r="58" customFormat="false" ht="15" hidden="false" customHeight="false" outlineLevel="0" collapsed="false">
      <c r="A58" s="4" t="s">
        <v>137</v>
      </c>
      <c r="B58" s="4"/>
      <c r="C58" s="4"/>
      <c r="D58" s="4"/>
    </row>
    <row r="61" customFormat="false" ht="15" hidden="false" customHeight="false" outlineLevel="0" collapsed="false">
      <c r="A61" s="6" t="s">
        <v>138</v>
      </c>
      <c r="B61" s="6"/>
      <c r="C61" s="6"/>
      <c r="D61" s="6"/>
      <c r="E61" s="6"/>
      <c r="F61" s="6"/>
    </row>
    <row r="62" customFormat="false" ht="15" hidden="false" customHeight="false" outlineLevel="0" collapsed="false">
      <c r="A62" s="3" t="s">
        <v>139</v>
      </c>
      <c r="B62" s="3" t="s">
        <v>62</v>
      </c>
      <c r="C62" s="3" t="s">
        <v>140</v>
      </c>
      <c r="D62" s="3" t="s">
        <v>141</v>
      </c>
      <c r="E62" s="3" t="s">
        <v>142</v>
      </c>
      <c r="F62" s="3" t="s">
        <v>43</v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4" t="s">
        <v>48</v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4" t="s">
        <v>48</v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4" t="s">
        <v>48</v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4" t="s">
        <v>48</v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4" t="s">
        <v>48</v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4" t="s">
        <v>48</v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4" t="s">
        <v>48</v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4" t="s">
        <v>48</v>
      </c>
    </row>
  </sheetData>
  <mergeCells count="11">
    <mergeCell ref="A4:F4"/>
    <mergeCell ref="B9:F9"/>
    <mergeCell ref="A11:F11"/>
    <mergeCell ref="A12:F12"/>
    <mergeCell ref="A20:F20"/>
    <mergeCell ref="A22:F22"/>
    <mergeCell ref="A23:F23"/>
    <mergeCell ref="A32:F32"/>
    <mergeCell ref="A33:F33"/>
    <mergeCell ref="A50:F50"/>
    <mergeCell ref="A61:F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6" t="s">
        <v>28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7" t="s">
        <v>29</v>
      </c>
      <c r="B5" s="4" t="s">
        <v>8</v>
      </c>
    </row>
    <row r="6" customFormat="false" ht="15" hidden="false" customHeight="false" outlineLevel="0" collapsed="false">
      <c r="A6" s="7" t="s">
        <v>30</v>
      </c>
      <c r="B6" s="5" t="n">
        <v>46171</v>
      </c>
    </row>
    <row r="7" customFormat="false" ht="35.05" hidden="false" customHeight="false" outlineLevel="0" collapsed="false">
      <c r="A7" s="7" t="s">
        <v>31</v>
      </c>
      <c r="B7" s="4" t="s">
        <v>143</v>
      </c>
    </row>
    <row r="8" customFormat="false" ht="15" hidden="false" customHeight="false" outlineLevel="0" collapsed="false">
      <c r="A8" s="7" t="s">
        <v>33</v>
      </c>
      <c r="B8" s="4" t="n">
        <v>0</v>
      </c>
    </row>
    <row r="9" customFormat="false" ht="31.5" hidden="false" customHeight="true" outlineLevel="0" collapsed="false">
      <c r="A9" s="7" t="s">
        <v>34</v>
      </c>
      <c r="B9" s="8" t="s">
        <v>144</v>
      </c>
      <c r="C9" s="8"/>
      <c r="D9" s="8"/>
      <c r="E9" s="8"/>
      <c r="F9" s="8"/>
    </row>
    <row r="11" customFormat="false" ht="15" hidden="false" customHeight="false" outlineLevel="0" collapsed="false">
      <c r="A11" s="6" t="s">
        <v>36</v>
      </c>
      <c r="B11" s="6"/>
      <c r="C11" s="6"/>
      <c r="D11" s="6"/>
      <c r="E11" s="6"/>
      <c r="F11" s="6"/>
    </row>
    <row r="12" customFormat="false" ht="15" hidden="false" customHeight="false" outlineLevel="0" collapsed="false">
      <c r="A12" s="9" t="s">
        <v>37</v>
      </c>
      <c r="B12" s="9"/>
      <c r="C12" s="9"/>
      <c r="D12" s="9"/>
      <c r="E12" s="9"/>
      <c r="F12" s="9"/>
    </row>
    <row r="13" customFormat="false" ht="15" hidden="false" customHeight="false" outlineLevel="0" collapsed="false">
      <c r="A13" s="3" t="s">
        <v>38</v>
      </c>
      <c r="B13" s="3" t="s">
        <v>39</v>
      </c>
      <c r="C13" s="3" t="s">
        <v>40</v>
      </c>
      <c r="D13" s="3" t="s">
        <v>41</v>
      </c>
      <c r="E13" s="3" t="s">
        <v>42</v>
      </c>
      <c r="F13" s="3" t="s">
        <v>43</v>
      </c>
    </row>
    <row r="14" customFormat="false" ht="15" hidden="false" customHeight="false" outlineLevel="0" collapsed="false">
      <c r="A14" s="4" t="s">
        <v>44</v>
      </c>
      <c r="B14" s="4" t="s">
        <v>45</v>
      </c>
      <c r="C14" s="4" t="s">
        <v>46</v>
      </c>
      <c r="D14" s="4" t="n">
        <v>4</v>
      </c>
      <c r="E14" s="4" t="s">
        <v>47</v>
      </c>
      <c r="F14" s="4" t="s">
        <v>48</v>
      </c>
    </row>
    <row r="15" customFormat="false" ht="15" hidden="false" customHeight="false" outlineLevel="0" collapsed="false">
      <c r="A15" s="4" t="s">
        <v>49</v>
      </c>
      <c r="B15" s="4" t="s">
        <v>45</v>
      </c>
      <c r="C15" s="4" t="s">
        <v>46</v>
      </c>
      <c r="D15" s="4" t="n">
        <v>1</v>
      </c>
      <c r="E15" s="4" t="s">
        <v>47</v>
      </c>
      <c r="F15" s="4" t="s">
        <v>48</v>
      </c>
    </row>
    <row r="16" customFormat="false" ht="15" hidden="false" customHeight="false" outlineLevel="0" collapsed="false">
      <c r="A16" s="4" t="s">
        <v>50</v>
      </c>
      <c r="B16" s="4" t="s">
        <v>51</v>
      </c>
      <c r="C16" s="4" t="s">
        <v>46</v>
      </c>
      <c r="D16" s="4" t="n">
        <v>1</v>
      </c>
      <c r="E16" s="4" t="s">
        <v>52</v>
      </c>
      <c r="F16" s="4" t="s">
        <v>48</v>
      </c>
    </row>
    <row r="17" customFormat="false" ht="15" hidden="false" customHeight="false" outlineLevel="0" collapsed="false">
      <c r="A17" s="4" t="s">
        <v>53</v>
      </c>
      <c r="B17" s="4" t="s">
        <v>54</v>
      </c>
      <c r="C17" s="4" t="s">
        <v>46</v>
      </c>
      <c r="D17" s="4" t="n">
        <v>1</v>
      </c>
      <c r="E17" s="4" t="s">
        <v>55</v>
      </c>
      <c r="F17" s="4" t="s">
        <v>48</v>
      </c>
    </row>
    <row r="18" customFormat="false" ht="15" hidden="false" customHeight="false" outlineLevel="0" collapsed="false">
      <c r="A18" s="10" t="s">
        <v>56</v>
      </c>
      <c r="B18" s="10"/>
      <c r="C18" s="10"/>
      <c r="D18" s="10" t="n">
        <v>7</v>
      </c>
      <c r="E18" s="10"/>
      <c r="F18" s="10"/>
    </row>
    <row r="20" customFormat="false" ht="49.5" hidden="false" customHeight="true" outlineLevel="0" collapsed="false">
      <c r="A20" s="11" t="s">
        <v>57</v>
      </c>
      <c r="B20" s="11"/>
      <c r="C20" s="11"/>
      <c r="D20" s="11"/>
      <c r="E20" s="11"/>
      <c r="F20" s="11"/>
    </row>
    <row r="22" customFormat="false" ht="15" hidden="false" customHeight="false" outlineLevel="0" collapsed="false">
      <c r="A22" s="6" t="s">
        <v>58</v>
      </c>
      <c r="B22" s="6"/>
      <c r="C22" s="6"/>
      <c r="D22" s="6"/>
      <c r="E22" s="6"/>
      <c r="F22" s="6"/>
    </row>
    <row r="23" customFormat="false" ht="15" hidden="false" customHeight="false" outlineLevel="0" collapsed="false">
      <c r="A23" s="9" t="s">
        <v>59</v>
      </c>
      <c r="B23" s="9"/>
      <c r="C23" s="9"/>
      <c r="D23" s="9"/>
      <c r="E23" s="9"/>
      <c r="F23" s="9"/>
    </row>
    <row r="24" customFormat="false" ht="15" hidden="false" customHeight="false" outlineLevel="0" collapsed="false">
      <c r="A24" s="3" t="s">
        <v>60</v>
      </c>
      <c r="B24" s="3" t="s">
        <v>61</v>
      </c>
      <c r="C24" s="3" t="s">
        <v>62</v>
      </c>
      <c r="D24" s="3" t="s">
        <v>63</v>
      </c>
      <c r="E24" s="3" t="s">
        <v>64</v>
      </c>
      <c r="F24" s="3" t="s">
        <v>43</v>
      </c>
    </row>
    <row r="25" customFormat="false" ht="79.85" hidden="false" customHeight="false" outlineLevel="0" collapsed="false">
      <c r="A25" s="4" t="s">
        <v>65</v>
      </c>
      <c r="B25" s="4" t="s">
        <v>66</v>
      </c>
      <c r="C25" s="4" t="s">
        <v>67</v>
      </c>
      <c r="D25" s="4" t="s">
        <v>68</v>
      </c>
      <c r="E25" s="4"/>
      <c r="F25" s="4" t="s">
        <v>48</v>
      </c>
    </row>
    <row r="26" customFormat="false" ht="91" hidden="false" customHeight="false" outlineLevel="0" collapsed="false">
      <c r="A26" s="4" t="s">
        <v>69</v>
      </c>
      <c r="B26" s="4" t="s">
        <v>66</v>
      </c>
      <c r="C26" s="4" t="s">
        <v>70</v>
      </c>
      <c r="D26" s="4" t="s">
        <v>71</v>
      </c>
      <c r="E26" s="4"/>
      <c r="F26" s="4" t="s">
        <v>48</v>
      </c>
    </row>
    <row r="27" customFormat="false" ht="57.45" hidden="false" customHeight="false" outlineLevel="0" collapsed="false">
      <c r="A27" s="4" t="s">
        <v>72</v>
      </c>
      <c r="B27" s="4" t="s">
        <v>66</v>
      </c>
      <c r="C27" s="4" t="s">
        <v>73</v>
      </c>
      <c r="D27" s="4" t="s">
        <v>74</v>
      </c>
      <c r="E27" s="4"/>
      <c r="F27" s="4" t="s">
        <v>48</v>
      </c>
    </row>
    <row r="28" customFormat="false" ht="35.05" hidden="false" customHeight="false" outlineLevel="0" collapsed="false">
      <c r="A28" s="4" t="s">
        <v>75</v>
      </c>
      <c r="B28" s="4" t="s">
        <v>66</v>
      </c>
      <c r="C28" s="4" t="s">
        <v>73</v>
      </c>
      <c r="D28" s="4" t="s">
        <v>76</v>
      </c>
      <c r="E28" s="4"/>
      <c r="F28" s="4" t="s">
        <v>48</v>
      </c>
    </row>
    <row r="29" customFormat="false" ht="68.65" hidden="false" customHeight="false" outlineLevel="0" collapsed="false">
      <c r="A29" s="4" t="s">
        <v>77</v>
      </c>
      <c r="B29" s="4" t="s">
        <v>66</v>
      </c>
      <c r="C29" s="4" t="s">
        <v>78</v>
      </c>
      <c r="D29" s="4" t="s">
        <v>79</v>
      </c>
      <c r="E29" s="4"/>
      <c r="F29" s="4" t="s">
        <v>48</v>
      </c>
    </row>
    <row r="32" customFormat="false" ht="15" hidden="false" customHeight="false" outlineLevel="0" collapsed="false">
      <c r="A32" s="6" t="s">
        <v>80</v>
      </c>
      <c r="B32" s="6"/>
      <c r="C32" s="6"/>
      <c r="D32" s="6"/>
      <c r="E32" s="6"/>
      <c r="F32" s="6"/>
    </row>
    <row r="33" customFormat="false" ht="15" hidden="false" customHeight="false" outlineLevel="0" collapsed="false">
      <c r="A33" s="9" t="s">
        <v>81</v>
      </c>
      <c r="B33" s="9"/>
      <c r="C33" s="9"/>
      <c r="D33" s="9"/>
      <c r="E33" s="9"/>
      <c r="F33" s="9"/>
    </row>
    <row r="34" customFormat="false" ht="15" hidden="false" customHeight="false" outlineLevel="0" collapsed="false">
      <c r="A34" s="3" t="s">
        <v>82</v>
      </c>
      <c r="B34" s="3" t="s">
        <v>83</v>
      </c>
      <c r="C34" s="3" t="s">
        <v>84</v>
      </c>
      <c r="D34" s="3" t="s">
        <v>85</v>
      </c>
      <c r="E34" s="3" t="s">
        <v>6</v>
      </c>
      <c r="F34" s="3" t="s">
        <v>43</v>
      </c>
    </row>
    <row r="35" customFormat="false" ht="15" hidden="false" customHeight="false" outlineLevel="0" collapsed="false">
      <c r="A35" s="4" t="s">
        <v>86</v>
      </c>
      <c r="B35" s="4" t="s">
        <v>87</v>
      </c>
      <c r="C35" s="5" t="n">
        <f aca="false">$B$6-21</f>
        <v>46150</v>
      </c>
      <c r="D35" s="4" t="s">
        <v>88</v>
      </c>
      <c r="E35" s="4" t="s">
        <v>89</v>
      </c>
      <c r="F35" s="4" t="s">
        <v>48</v>
      </c>
    </row>
    <row r="36" customFormat="false" ht="15" hidden="false" customHeight="false" outlineLevel="0" collapsed="false">
      <c r="A36" s="4" t="s">
        <v>90</v>
      </c>
      <c r="B36" s="4" t="s">
        <v>87</v>
      </c>
      <c r="C36" s="5" t="n">
        <f aca="false">$B$6-21</f>
        <v>46150</v>
      </c>
      <c r="D36" s="4" t="s">
        <v>91</v>
      </c>
      <c r="E36" s="4"/>
      <c r="F36" s="4" t="s">
        <v>48</v>
      </c>
    </row>
    <row r="37" customFormat="false" ht="15" hidden="false" customHeight="false" outlineLevel="0" collapsed="false">
      <c r="A37" s="4" t="s">
        <v>92</v>
      </c>
      <c r="B37" s="4" t="s">
        <v>87</v>
      </c>
      <c r="C37" s="5" t="n">
        <f aca="false">$B$6-21</f>
        <v>46150</v>
      </c>
      <c r="D37" s="4" t="s">
        <v>93</v>
      </c>
      <c r="E37" s="4"/>
      <c r="F37" s="4" t="s">
        <v>48</v>
      </c>
    </row>
    <row r="38" customFormat="false" ht="15" hidden="false" customHeight="false" outlineLevel="0" collapsed="false">
      <c r="A38" s="4" t="s">
        <v>94</v>
      </c>
      <c r="B38" s="4" t="s">
        <v>95</v>
      </c>
      <c r="C38" s="5" t="n">
        <f aca="false">$B$6-14</f>
        <v>46157</v>
      </c>
      <c r="D38" s="4" t="s">
        <v>88</v>
      </c>
      <c r="E38" s="4" t="s">
        <v>96</v>
      </c>
      <c r="F38" s="4" t="s">
        <v>48</v>
      </c>
    </row>
    <row r="39" customFormat="false" ht="15" hidden="false" customHeight="false" outlineLevel="0" collapsed="false">
      <c r="A39" s="4" t="s">
        <v>97</v>
      </c>
      <c r="B39" s="4" t="s">
        <v>98</v>
      </c>
      <c r="C39" s="5" t="n">
        <f aca="false">$B$6-7</f>
        <v>46164</v>
      </c>
      <c r="D39" s="4" t="s">
        <v>91</v>
      </c>
      <c r="E39" s="4" t="s">
        <v>99</v>
      </c>
      <c r="F39" s="4" t="s">
        <v>48</v>
      </c>
    </row>
    <row r="40" customFormat="false" ht="15" hidden="false" customHeight="false" outlineLevel="0" collapsed="false">
      <c r="A40" s="4" t="s">
        <v>100</v>
      </c>
      <c r="B40" s="4" t="s">
        <v>98</v>
      </c>
      <c r="C40" s="5" t="n">
        <f aca="false">$B$6-7</f>
        <v>46164</v>
      </c>
      <c r="D40" s="4" t="s">
        <v>101</v>
      </c>
      <c r="E40" s="4" t="s">
        <v>102</v>
      </c>
      <c r="F40" s="4" t="s">
        <v>48</v>
      </c>
    </row>
    <row r="41" customFormat="false" ht="15" hidden="false" customHeight="false" outlineLevel="0" collapsed="false">
      <c r="A41" s="4" t="s">
        <v>103</v>
      </c>
      <c r="B41" s="4" t="s">
        <v>98</v>
      </c>
      <c r="C41" s="5" t="n">
        <f aca="false">$B$6-7</f>
        <v>46164</v>
      </c>
      <c r="D41" s="4" t="s">
        <v>88</v>
      </c>
      <c r="E41" s="4"/>
      <c r="F41" s="4" t="s">
        <v>48</v>
      </c>
    </row>
    <row r="42" customFormat="false" ht="15" hidden="false" customHeight="false" outlineLevel="0" collapsed="false">
      <c r="A42" s="4" t="s">
        <v>104</v>
      </c>
      <c r="B42" s="4" t="s">
        <v>105</v>
      </c>
      <c r="C42" s="5" t="n">
        <f aca="false">$B$6</f>
        <v>46171</v>
      </c>
      <c r="D42" s="4" t="s">
        <v>88</v>
      </c>
      <c r="E42" s="4" t="s">
        <v>106</v>
      </c>
      <c r="F42" s="4" t="s">
        <v>48</v>
      </c>
    </row>
    <row r="43" customFormat="false" ht="15" hidden="false" customHeight="false" outlineLevel="0" collapsed="false">
      <c r="A43" s="4" t="s">
        <v>107</v>
      </c>
      <c r="B43" s="4" t="s">
        <v>105</v>
      </c>
      <c r="C43" s="5" t="n">
        <f aca="false">$B$6</f>
        <v>46171</v>
      </c>
      <c r="D43" s="4" t="s">
        <v>88</v>
      </c>
      <c r="E43" s="4"/>
      <c r="F43" s="4" t="s">
        <v>48</v>
      </c>
    </row>
    <row r="44" customFormat="false" ht="15" hidden="false" customHeight="false" outlineLevel="0" collapsed="false">
      <c r="A44" s="4" t="s">
        <v>108</v>
      </c>
      <c r="B44" s="4" t="s">
        <v>105</v>
      </c>
      <c r="C44" s="5" t="n">
        <f aca="false">$B$6</f>
        <v>46171</v>
      </c>
      <c r="D44" s="4" t="s">
        <v>88</v>
      </c>
      <c r="E44" s="4"/>
      <c r="F44" s="4" t="s">
        <v>48</v>
      </c>
    </row>
    <row r="45" customFormat="false" ht="15" hidden="false" customHeight="false" outlineLevel="0" collapsed="false">
      <c r="A45" s="4" t="s">
        <v>109</v>
      </c>
      <c r="B45" s="4" t="s">
        <v>110</v>
      </c>
      <c r="C45" s="5" t="n">
        <f aca="false">$B$6+7</f>
        <v>46178</v>
      </c>
      <c r="D45" s="4" t="s">
        <v>88</v>
      </c>
      <c r="E45" s="4"/>
      <c r="F45" s="4" t="s">
        <v>48</v>
      </c>
    </row>
    <row r="46" customFormat="false" ht="15" hidden="false" customHeight="false" outlineLevel="0" collapsed="false">
      <c r="A46" s="4" t="s">
        <v>111</v>
      </c>
      <c r="B46" s="4" t="s">
        <v>110</v>
      </c>
      <c r="C46" s="5" t="n">
        <f aca="false">$B$6+7</f>
        <v>46178</v>
      </c>
      <c r="D46" s="4" t="s">
        <v>88</v>
      </c>
      <c r="E46" s="4"/>
      <c r="F46" s="4" t="s">
        <v>48</v>
      </c>
    </row>
    <row r="47" customFormat="false" ht="23.85" hidden="false" customHeight="false" outlineLevel="0" collapsed="false">
      <c r="A47" s="4" t="s">
        <v>112</v>
      </c>
      <c r="B47" s="4" t="s">
        <v>110</v>
      </c>
      <c r="C47" s="5" t="n">
        <f aca="false">$B$6+7</f>
        <v>46178</v>
      </c>
      <c r="D47" s="4" t="s">
        <v>113</v>
      </c>
      <c r="E47" s="4" t="s">
        <v>114</v>
      </c>
      <c r="F47" s="4" t="s">
        <v>48</v>
      </c>
    </row>
    <row r="50" customFormat="false" ht="15" hidden="false" customHeight="false" outlineLevel="0" collapsed="false">
      <c r="A50" s="6" t="s">
        <v>115</v>
      </c>
      <c r="B50" s="6"/>
      <c r="C50" s="6"/>
      <c r="D50" s="6"/>
      <c r="E50" s="6"/>
      <c r="F50" s="6"/>
    </row>
    <row r="51" customFormat="false" ht="15" hidden="false" customHeight="false" outlineLevel="0" collapsed="false">
      <c r="A51" s="3" t="s">
        <v>116</v>
      </c>
      <c r="B51" s="3" t="s">
        <v>117</v>
      </c>
      <c r="C51" s="3" t="s">
        <v>118</v>
      </c>
      <c r="D51" s="3" t="s">
        <v>119</v>
      </c>
    </row>
    <row r="52" customFormat="false" ht="57.45" hidden="false" customHeight="false" outlineLevel="0" collapsed="false">
      <c r="A52" s="4" t="s">
        <v>120</v>
      </c>
      <c r="B52" s="4" t="s">
        <v>121</v>
      </c>
      <c r="C52" s="4"/>
      <c r="D52" s="4" t="s">
        <v>122</v>
      </c>
    </row>
    <row r="53" customFormat="false" ht="46.25" hidden="false" customHeight="false" outlineLevel="0" collapsed="false">
      <c r="A53" s="4" t="s">
        <v>123</v>
      </c>
      <c r="B53" s="4" t="s">
        <v>124</v>
      </c>
      <c r="C53" s="4"/>
      <c r="D53" s="4" t="s">
        <v>125</v>
      </c>
    </row>
    <row r="54" customFormat="false" ht="46.25" hidden="false" customHeight="false" outlineLevel="0" collapsed="false">
      <c r="A54" s="4" t="s">
        <v>126</v>
      </c>
      <c r="B54" s="4" t="s">
        <v>127</v>
      </c>
      <c r="C54" s="4"/>
      <c r="D54" s="4" t="s">
        <v>128</v>
      </c>
    </row>
    <row r="55" customFormat="false" ht="46.25" hidden="false" customHeight="false" outlineLevel="0" collapsed="false">
      <c r="A55" s="4" t="s">
        <v>129</v>
      </c>
      <c r="B55" s="4" t="s">
        <v>130</v>
      </c>
      <c r="C55" s="4"/>
      <c r="D55" s="4" t="s">
        <v>131</v>
      </c>
    </row>
    <row r="56" customFormat="false" ht="46.25" hidden="false" customHeight="false" outlineLevel="0" collapsed="false">
      <c r="A56" s="4" t="s">
        <v>132</v>
      </c>
      <c r="B56" s="4"/>
      <c r="C56" s="4"/>
      <c r="D56" s="4" t="s">
        <v>133</v>
      </c>
    </row>
    <row r="57" customFormat="false" ht="35.05" hidden="false" customHeight="false" outlineLevel="0" collapsed="false">
      <c r="A57" s="4" t="s">
        <v>134</v>
      </c>
      <c r="B57" s="4" t="s">
        <v>135</v>
      </c>
      <c r="C57" s="4"/>
      <c r="D57" s="4" t="s">
        <v>136</v>
      </c>
    </row>
    <row r="58" customFormat="false" ht="15" hidden="false" customHeight="false" outlineLevel="0" collapsed="false">
      <c r="A58" s="4" t="s">
        <v>137</v>
      </c>
      <c r="B58" s="4"/>
      <c r="C58" s="4"/>
      <c r="D58" s="4"/>
    </row>
    <row r="61" customFormat="false" ht="15" hidden="false" customHeight="false" outlineLevel="0" collapsed="false">
      <c r="A61" s="6" t="s">
        <v>138</v>
      </c>
      <c r="B61" s="6"/>
      <c r="C61" s="6"/>
      <c r="D61" s="6"/>
      <c r="E61" s="6"/>
      <c r="F61" s="6"/>
    </row>
    <row r="62" customFormat="false" ht="15" hidden="false" customHeight="false" outlineLevel="0" collapsed="false">
      <c r="A62" s="3" t="s">
        <v>139</v>
      </c>
      <c r="B62" s="3" t="s">
        <v>62</v>
      </c>
      <c r="C62" s="3" t="s">
        <v>140</v>
      </c>
      <c r="D62" s="3" t="s">
        <v>141</v>
      </c>
      <c r="E62" s="3" t="s">
        <v>142</v>
      </c>
      <c r="F62" s="3" t="s">
        <v>43</v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4" t="s">
        <v>48</v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4" t="s">
        <v>48</v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4" t="s">
        <v>48</v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4" t="s">
        <v>48</v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4" t="s">
        <v>48</v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4" t="s">
        <v>48</v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4" t="s">
        <v>48</v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4" t="s">
        <v>48</v>
      </c>
    </row>
  </sheetData>
  <mergeCells count="11">
    <mergeCell ref="A4:F4"/>
    <mergeCell ref="B9:F9"/>
    <mergeCell ref="A11:F11"/>
    <mergeCell ref="A12:F12"/>
    <mergeCell ref="A20:F20"/>
    <mergeCell ref="A22:F22"/>
    <mergeCell ref="A23:F23"/>
    <mergeCell ref="A32:F32"/>
    <mergeCell ref="A33:F33"/>
    <mergeCell ref="A50:F50"/>
    <mergeCell ref="A61:F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23.85" hidden="false" customHeight="false" outlineLevel="0" collapsed="false">
      <c r="A4" s="3" t="s">
        <v>2</v>
      </c>
      <c r="B4" s="3" t="s">
        <v>4</v>
      </c>
      <c r="C4" s="3" t="s">
        <v>3</v>
      </c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v>46171</v>
      </c>
      <c r="D5" s="4"/>
      <c r="E5" s="4"/>
      <c r="F5" s="4"/>
      <c r="G5" s="4"/>
      <c r="H5" s="4"/>
    </row>
    <row r="6" customFormat="false" ht="15" hidden="false" customHeight="false" outlineLevel="0" collapsed="false">
      <c r="A6" s="4" t="s">
        <v>10</v>
      </c>
      <c r="B6" s="4"/>
      <c r="C6" s="5" t="n">
        <v>46185</v>
      </c>
      <c r="D6" s="4"/>
      <c r="E6" s="4"/>
      <c r="F6" s="4"/>
      <c r="G6" s="4"/>
      <c r="H6" s="4"/>
    </row>
    <row r="7" customFormat="false" ht="15" hidden="false" customHeight="false" outlineLevel="0" collapsed="false">
      <c r="A7" s="4" t="s">
        <v>12</v>
      </c>
      <c r="B7" s="4"/>
      <c r="C7" s="5" t="n">
        <v>46199</v>
      </c>
      <c r="D7" s="4"/>
      <c r="E7" s="4"/>
      <c r="F7" s="4"/>
      <c r="G7" s="4"/>
      <c r="H7" s="4"/>
    </row>
    <row r="8" customFormat="false" ht="15" hidden="false" customHeight="false" outlineLevel="0" collapsed="false">
      <c r="A8" s="4" t="s">
        <v>13</v>
      </c>
      <c r="B8" s="4"/>
      <c r="C8" s="5" t="n">
        <v>46213</v>
      </c>
      <c r="D8" s="4"/>
      <c r="E8" s="4"/>
      <c r="F8" s="4"/>
      <c r="G8" s="4"/>
      <c r="H8" s="4"/>
    </row>
    <row r="9" customFormat="false" ht="15" hidden="false" customHeight="false" outlineLevel="0" collapsed="false">
      <c r="A9" s="4" t="s">
        <v>14</v>
      </c>
      <c r="B9" s="4"/>
      <c r="C9" s="5" t="n">
        <v>46227</v>
      </c>
      <c r="D9" s="4"/>
      <c r="E9" s="4"/>
      <c r="F9" s="4"/>
      <c r="G9" s="4"/>
      <c r="H9" s="4"/>
    </row>
    <row r="10" customFormat="false" ht="15" hidden="false" customHeight="false" outlineLevel="0" collapsed="false">
      <c r="A10" s="4" t="s">
        <v>15</v>
      </c>
      <c r="B10" s="4"/>
      <c r="C10" s="5" t="n">
        <v>46241</v>
      </c>
      <c r="D10" s="4"/>
      <c r="E10" s="4"/>
      <c r="F10" s="4"/>
      <c r="G10" s="4"/>
      <c r="H10" s="4"/>
    </row>
    <row r="11" customFormat="false" ht="15" hidden="false" customHeight="false" outlineLevel="0" collapsed="false">
      <c r="A11" s="4" t="s">
        <v>16</v>
      </c>
      <c r="B11" s="4"/>
      <c r="C11" s="5" t="n">
        <v>46255</v>
      </c>
      <c r="D11" s="4"/>
      <c r="E11" s="4"/>
      <c r="F11" s="4"/>
      <c r="G11" s="4"/>
      <c r="H11" s="4"/>
    </row>
    <row r="12" customFormat="false" ht="15" hidden="false" customHeight="false" outlineLevel="0" collapsed="false">
      <c r="A12" s="4" t="s">
        <v>17</v>
      </c>
      <c r="B12" s="4"/>
      <c r="C12" s="5" t="n">
        <v>46269</v>
      </c>
      <c r="D12" s="4"/>
      <c r="E12" s="4"/>
      <c r="F12" s="4"/>
      <c r="G12" s="4"/>
      <c r="H12" s="4"/>
    </row>
    <row r="13" customFormat="false" ht="15" hidden="false" customHeight="false" outlineLevel="0" collapsed="false">
      <c r="A13" s="4" t="s">
        <v>18</v>
      </c>
      <c r="B13" s="4"/>
      <c r="C13" s="5" t="n">
        <v>46283</v>
      </c>
      <c r="D13" s="4"/>
      <c r="E13" s="4"/>
      <c r="F13" s="4"/>
      <c r="G13" s="4"/>
      <c r="H13" s="4"/>
    </row>
    <row r="14" customFormat="false" ht="15" hidden="false" customHeight="false" outlineLevel="0" collapsed="false">
      <c r="A14" s="4" t="s">
        <v>19</v>
      </c>
      <c r="B14" s="4"/>
      <c r="C14" s="5" t="n">
        <v>46297</v>
      </c>
      <c r="D14" s="4"/>
      <c r="E14" s="4"/>
      <c r="F14" s="4"/>
      <c r="G14" s="4"/>
      <c r="H14" s="4"/>
    </row>
    <row r="15" customFormat="false" ht="15" hidden="false" customHeight="false" outlineLevel="0" collapsed="false">
      <c r="A15" s="4" t="s">
        <v>20</v>
      </c>
      <c r="B15" s="4"/>
      <c r="C15" s="5" t="n">
        <v>46311</v>
      </c>
      <c r="D15" s="4"/>
      <c r="E15" s="4"/>
      <c r="F15" s="4"/>
      <c r="G15" s="4"/>
      <c r="H15" s="4"/>
    </row>
    <row r="16" customFormat="false" ht="15" hidden="false" customHeight="false" outlineLevel="0" collapsed="false">
      <c r="A16" s="4" t="s">
        <v>21</v>
      </c>
      <c r="B16" s="4"/>
      <c r="C16" s="5" t="n">
        <v>46325</v>
      </c>
      <c r="D16" s="4"/>
      <c r="E16" s="4"/>
      <c r="F16" s="4"/>
      <c r="G16" s="4"/>
      <c r="H16" s="4"/>
    </row>
    <row r="17" customFormat="false" ht="15" hidden="false" customHeight="false" outlineLevel="0" collapsed="false">
      <c r="A17" s="4" t="s">
        <v>22</v>
      </c>
      <c r="B17" s="4"/>
      <c r="C17" s="5" t="n">
        <v>46339</v>
      </c>
      <c r="D17" s="4"/>
      <c r="E17" s="4"/>
      <c r="F17" s="4"/>
      <c r="G17" s="4"/>
      <c r="H17" s="4"/>
    </row>
    <row r="18" customFormat="false" ht="15" hidden="false" customHeight="false" outlineLevel="0" collapsed="false">
      <c r="A18" s="4" t="s">
        <v>23</v>
      </c>
      <c r="B18" s="4"/>
      <c r="C18" s="5" t="n">
        <v>46353</v>
      </c>
      <c r="D18" s="4"/>
      <c r="E18" s="4"/>
      <c r="F18" s="4"/>
      <c r="G18" s="4"/>
      <c r="H18" s="4"/>
    </row>
    <row r="19" customFormat="false" ht="15" hidden="false" customHeight="false" outlineLevel="0" collapsed="false">
      <c r="A19" s="4" t="s">
        <v>24</v>
      </c>
      <c r="B19" s="4"/>
      <c r="C19" s="5" t="n">
        <v>46367</v>
      </c>
      <c r="D19" s="4"/>
      <c r="E19" s="4"/>
      <c r="F19" s="4"/>
      <c r="G19" s="4"/>
      <c r="H19" s="4"/>
    </row>
    <row r="20" customFormat="false" ht="15" hidden="false" customHeight="false" outlineLevel="0" collapsed="false">
      <c r="A20" s="4" t="s">
        <v>25</v>
      </c>
      <c r="B20" s="4"/>
      <c r="C20" s="5" t="n">
        <v>46381</v>
      </c>
      <c r="D20" s="4"/>
      <c r="E20" s="4"/>
      <c r="F20" s="4"/>
      <c r="G20" s="4"/>
      <c r="H2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2026-05-06T22:24:56Z</dcterms:created>
  <dc:creator>openpyxl</dc:creator>
  <dc:description/>
  <dc:language>en-US</dc:language>
  <cp:lastModifiedBy/>
  <dcterms:modified xsi:type="dcterms:W3CDTF">2026-05-06T22:24:56Z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